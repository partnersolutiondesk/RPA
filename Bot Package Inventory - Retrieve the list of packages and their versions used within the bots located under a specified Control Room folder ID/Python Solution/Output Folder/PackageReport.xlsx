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Report" sheetId="1" state="visible" r:id="rId3"/>
    <sheet name="Bot Summary" sheetId="2" state="visible" r:id="rId4"/>
    <sheet name="Package Summary" sheetId="3" state="visible" r:id="rId5"/>
    <sheet name="Read Me" sheetId="4" state="visible" r:id="rId6"/>
  </sheets>
  <definedNames>
    <definedName function="false" hidden="true" localSheetId="1" name="_xlnm._FilterDatabase" vbProcedure="false">'Bot Summary'!$A$1:$D$34</definedName>
    <definedName function="false" hidden="true" localSheetId="0" name="_xlnm._FilterDatabase" vbProcedure="false">'Full Report'!$A$1:$E$146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<sst xmlns="http://schemas.openxmlformats.org/spreadsheetml/2006/main" count="702" uniqueCount="96">
  <si>
    <t xml:space="preserve">Folder Path</t>
  </si>
  <si>
    <t xml:space="preserve">Bot Name</t>
  </si>
  <si>
    <t xml:space="preserve">Package Name</t>
  </si>
  <si>
    <t xml:space="preserve">Package Version</t>
  </si>
  <si>
    <t xml:space="preserve">Command Count</t>
  </si>
  <si>
    <t xml:space="preserve">Bots</t>
  </si>
  <si>
    <t xml:space="preserve">Daily_Health_Check</t>
  </si>
  <si>
    <t xml:space="preserve">Database</t>
  </si>
  <si>
    <t xml:space="preserve">3.9.0-20250801-070000</t>
  </si>
  <si>
    <t xml:space="preserve">Datetime</t>
  </si>
  <si>
    <t xml:space="preserve">3.5.1-20250703-100000</t>
  </si>
  <si>
    <t xml:space="preserve">String</t>
  </si>
  <si>
    <t xml:space="preserve">3.8.1-20250822-093011</t>
  </si>
  <si>
    <t xml:space="preserve">Browser</t>
  </si>
  <si>
    <t xml:space="preserve">4.0.0-20251001-084500</t>
  </si>
  <si>
    <t xml:space="preserve">Email</t>
  </si>
  <si>
    <t xml:space="preserve">4.2.1-20250915-120000</t>
  </si>
  <si>
    <t xml:space="preserve">Cleanup_Temp_Files</t>
  </si>
  <si>
    <t xml:space="preserve">Credential Vault</t>
  </si>
  <si>
    <t xml:space="preserve">3.0.0-20250301-100000</t>
  </si>
  <si>
    <t xml:space="preserve">Wait</t>
  </si>
  <si>
    <t xml:space="preserve">3.0.2-20250210-100000</t>
  </si>
  <si>
    <t xml:space="preserve">Bots\Finance</t>
  </si>
  <si>
    <t xml:space="preserve">Month_End_Close</t>
  </si>
  <si>
    <t xml:space="preserve">PDF</t>
  </si>
  <si>
    <t xml:space="preserve">3.7.0-20250812-101500</t>
  </si>
  <si>
    <t xml:space="preserve">Folder</t>
  </si>
  <si>
    <t xml:space="preserve">3.2.4-20250515-091500</t>
  </si>
  <si>
    <t xml:space="preserve">Dictionary</t>
  </si>
  <si>
    <t xml:space="preserve">3.1.2-20250422-082200</t>
  </si>
  <si>
    <t xml:space="preserve">Bank_Reconciliation</t>
  </si>
  <si>
    <t xml:space="preserve">SharePoint</t>
  </si>
  <si>
    <t xml:space="preserve">1.4.0-20250920-100000</t>
  </si>
  <si>
    <t xml:space="preserve">Expense_Report_Export</t>
  </si>
  <si>
    <t xml:space="preserve">Bots\Finance\Invoices</t>
  </si>
  <si>
    <t xml:space="preserve">Invoice_Extraction</t>
  </si>
  <si>
    <t xml:space="preserve">List</t>
  </si>
  <si>
    <t xml:space="preserve">3.0.5-20250410-080000</t>
  </si>
  <si>
    <t xml:space="preserve">Task Bot</t>
  </si>
  <si>
    <t xml:space="preserve">3.2.0-20250601-100000</t>
  </si>
  <si>
    <t xml:space="preserve">Number</t>
  </si>
  <si>
    <t xml:space="preserve">3.2.0-20250521-090000</t>
  </si>
  <si>
    <t xml:space="preserve">Invoice_Approval</t>
  </si>
  <si>
    <t xml:space="preserve">Invoice_Posting</t>
  </si>
  <si>
    <t xml:space="preserve">Vendor_Match</t>
  </si>
  <si>
    <t xml:space="preserve">File</t>
  </si>
  <si>
    <t xml:space="preserve">3.4.0-20250611-101000</t>
  </si>
  <si>
    <t xml:space="preserve">Error handler</t>
  </si>
  <si>
    <t xml:space="preserve">3.1.0-20250330-100000</t>
  </si>
  <si>
    <t xml:space="preserve">Excel advanced</t>
  </si>
  <si>
    <t xml:space="preserve">12.3.0-20250910-101112</t>
  </si>
  <si>
    <t xml:space="preserve">Bots\HR</t>
  </si>
  <si>
    <t xml:space="preserve">Employee_Data_Sync</t>
  </si>
  <si>
    <t xml:space="preserve">REST Web Service</t>
  </si>
  <si>
    <t xml:space="preserve">2.9.2-20250705-064000</t>
  </si>
  <si>
    <t xml:space="preserve">Leave_Balance_Update</t>
  </si>
  <si>
    <t xml:space="preserve">Bots\HR\Onboarding</t>
  </si>
  <si>
    <t xml:space="preserve">New_Hire_Setup</t>
  </si>
  <si>
    <t xml:space="preserve">Welcome_Email</t>
  </si>
  <si>
    <t xml:space="preserve">Equipment_Request</t>
  </si>
  <si>
    <t xml:space="preserve">Bots\IT</t>
  </si>
  <si>
    <t xml:space="preserve">User_Access_Review</t>
  </si>
  <si>
    <t xml:space="preserve">Password_Reset</t>
  </si>
  <si>
    <t xml:space="preserve">Bots\IT\Monitoring</t>
  </si>
  <si>
    <t xml:space="preserve">Server_Status_Check</t>
  </si>
  <si>
    <t xml:space="preserve">Message box</t>
  </si>
  <si>
    <t xml:space="preserve">3.5.0-20250620-111500</t>
  </si>
  <si>
    <t xml:space="preserve">Disk_Space_Alert</t>
  </si>
  <si>
    <t xml:space="preserve">Service_Restart</t>
  </si>
  <si>
    <t xml:space="preserve">Bots\Sales</t>
  </si>
  <si>
    <t xml:space="preserve">Quote_Generator</t>
  </si>
  <si>
    <t xml:space="preserve">Log to file</t>
  </si>
  <si>
    <t xml:space="preserve">3.0.1-20250225-100000</t>
  </si>
  <si>
    <t xml:space="preserve">Order_Entry</t>
  </si>
  <si>
    <t xml:space="preserve">Sales_Report</t>
  </si>
  <si>
    <t xml:space="preserve">Bots\Sales\Leads</t>
  </si>
  <si>
    <t xml:space="preserve">Lead_Import</t>
  </si>
  <si>
    <t xml:space="preserve">Lead_Scoring</t>
  </si>
  <si>
    <t xml:space="preserve">Lead_Dedup</t>
  </si>
  <si>
    <t xml:space="preserve">Bots\Support</t>
  </si>
  <si>
    <t xml:space="preserve">Ticket_Triage</t>
  </si>
  <si>
    <t xml:space="preserve">Ticket_Escalation</t>
  </si>
  <si>
    <t xml:space="preserve">Bots\Support\Tickets</t>
  </si>
  <si>
    <t xml:space="preserve">Ticket_Status_Update</t>
  </si>
  <si>
    <t xml:space="preserve">Ticket_Close_Notify</t>
  </si>
  <si>
    <t xml:space="preserve">SLA_Report</t>
  </si>
  <si>
    <t xml:space="preserve">Bots\Utilities</t>
  </si>
  <si>
    <t xml:space="preserve">Send_Notification</t>
  </si>
  <si>
    <t xml:space="preserve">Read_Config_File</t>
  </si>
  <si>
    <t xml:space="preserve">Archive_Logs</t>
  </si>
  <si>
    <t xml:space="preserve">Packages Used</t>
  </si>
  <si>
    <t xml:space="preserve">Total Commands</t>
  </si>
  <si>
    <t xml:space="preserve">Bots Using It</t>
  </si>
  <si>
    <t xml:space="preserve">SAMPLE DATA ONLY</t>
  </si>
  <si>
    <t xml:space="preserve">All folder names, bot names, user names and counts in this workbook are made-up dummy values for documentation.</t>
  </si>
  <si>
    <t xml:space="preserve">Sheet layout is illustrative of the BotPackageInventory report (one row per bot / package / version).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</si>
</sst>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n">
        <v>12</v>
      </c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9</v>
      </c>
      <c r="D3" s="2" t="s">
        <v>10</v>
      </c>
      <c r="E3" s="3" t="n">
        <v>2</v>
      </c>
    </row>
    <row r="4" customFormat="false" ht="15" hidden="false" customHeight="false" outlineLevel="0" collapsed="false">
      <c r="A4" s="2" t="s">
        <v>5</v>
      </c>
      <c r="B4" s="2" t="s">
        <v>6</v>
      </c>
      <c r="C4" s="2" t="s">
        <v>11</v>
      </c>
      <c r="D4" s="2" t="s">
        <v>12</v>
      </c>
      <c r="E4" s="3" t="n">
        <v>17</v>
      </c>
    </row>
    <row r="5" customFormat="false" ht="15" hidden="false" customHeight="false" outlineLevel="0" collapsed="false">
      <c r="A5" s="2" t="s">
        <v>5</v>
      </c>
      <c r="B5" s="2" t="s">
        <v>6</v>
      </c>
      <c r="C5" s="2" t="s">
        <v>13</v>
      </c>
      <c r="D5" s="2" t="s">
        <v>14</v>
      </c>
      <c r="E5" s="3" t="n">
        <v>7</v>
      </c>
    </row>
    <row r="6" customFormat="false" ht="15" hidden="false" customHeight="false" outlineLevel="0" collapsed="false">
      <c r="A6" s="2" t="s">
        <v>5</v>
      </c>
      <c r="B6" s="2" t="s">
        <v>6</v>
      </c>
      <c r="C6" s="2" t="s">
        <v>15</v>
      </c>
      <c r="D6" s="2" t="s">
        <v>16</v>
      </c>
      <c r="E6" s="3" t="n">
        <v>2</v>
      </c>
    </row>
    <row r="7" customFormat="false" ht="15" hidden="false" customHeight="false" outlineLevel="0" collapsed="false">
      <c r="A7" s="2" t="s">
        <v>5</v>
      </c>
      <c r="B7" s="2" t="s">
        <v>17</v>
      </c>
      <c r="C7" s="2" t="s">
        <v>18</v>
      </c>
      <c r="D7" s="2" t="s">
        <v>19</v>
      </c>
      <c r="E7" s="3" t="n">
        <v>8</v>
      </c>
    </row>
    <row r="8" customFormat="false" ht="15" hidden="false" customHeight="false" outlineLevel="0" collapsed="false">
      <c r="A8" s="2" t="s">
        <v>5</v>
      </c>
      <c r="B8" s="2" t="s">
        <v>17</v>
      </c>
      <c r="C8" s="2" t="s">
        <v>20</v>
      </c>
      <c r="D8" s="2" t="s">
        <v>21</v>
      </c>
      <c r="E8" s="3" t="n">
        <v>3</v>
      </c>
    </row>
    <row r="9" customFormat="false" ht="15" hidden="false" customHeight="false" outlineLevel="0" collapsed="false">
      <c r="A9" s="2" t="s">
        <v>5</v>
      </c>
      <c r="B9" s="2" t="s">
        <v>17</v>
      </c>
      <c r="C9" s="2" t="s">
        <v>13</v>
      </c>
      <c r="D9" s="2" t="s">
        <v>14</v>
      </c>
      <c r="E9" s="3" t="n">
        <v>18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11</v>
      </c>
      <c r="D10" s="2" t="s">
        <v>12</v>
      </c>
      <c r="E10" s="3" t="n">
        <v>13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24</v>
      </c>
      <c r="D11" s="2" t="s">
        <v>25</v>
      </c>
      <c r="E11" s="3" t="n">
        <v>2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15</v>
      </c>
      <c r="D12" s="2" t="s">
        <v>16</v>
      </c>
      <c r="E12" s="3" t="n">
        <v>8</v>
      </c>
    </row>
    <row r="13" customFormat="false" ht="15" hidden="false" customHeight="false" outlineLevel="0" collapsed="false">
      <c r="A13" s="2" t="s">
        <v>22</v>
      </c>
      <c r="B13" s="2" t="s">
        <v>23</v>
      </c>
      <c r="C13" s="2" t="s">
        <v>26</v>
      </c>
      <c r="D13" s="2" t="s">
        <v>27</v>
      </c>
      <c r="E13" s="3" t="n">
        <v>2</v>
      </c>
    </row>
    <row r="14" customFormat="false" ht="15" hidden="false" customHeight="false" outlineLevel="0" collapsed="false">
      <c r="A14" s="2" t="s">
        <v>22</v>
      </c>
      <c r="B14" s="2" t="s">
        <v>23</v>
      </c>
      <c r="C14" s="2" t="s">
        <v>20</v>
      </c>
      <c r="D14" s="2" t="s">
        <v>21</v>
      </c>
      <c r="E14" s="3" t="n">
        <v>18</v>
      </c>
    </row>
    <row r="15" customFormat="false" ht="15" hidden="false" customHeight="false" outlineLevel="0" collapsed="false">
      <c r="A15" s="2" t="s">
        <v>22</v>
      </c>
      <c r="B15" s="2" t="s">
        <v>23</v>
      </c>
      <c r="C15" s="2" t="s">
        <v>28</v>
      </c>
      <c r="D15" s="2" t="s">
        <v>29</v>
      </c>
      <c r="E15" s="3" t="n">
        <v>5</v>
      </c>
    </row>
    <row r="16" customFormat="false" ht="15" hidden="false" customHeight="false" outlineLevel="0" collapsed="false">
      <c r="A16" s="2" t="s">
        <v>22</v>
      </c>
      <c r="B16" s="2" t="s">
        <v>30</v>
      </c>
      <c r="C16" s="2" t="s">
        <v>18</v>
      </c>
      <c r="D16" s="2" t="s">
        <v>19</v>
      </c>
      <c r="E16" s="3" t="n">
        <v>18</v>
      </c>
    </row>
    <row r="17" customFormat="false" ht="15" hidden="false" customHeight="false" outlineLevel="0" collapsed="false">
      <c r="A17" s="2" t="s">
        <v>22</v>
      </c>
      <c r="B17" s="2" t="s">
        <v>30</v>
      </c>
      <c r="C17" s="2" t="s">
        <v>7</v>
      </c>
      <c r="D17" s="2" t="s">
        <v>8</v>
      </c>
      <c r="E17" s="3" t="n">
        <v>6</v>
      </c>
    </row>
    <row r="18" customFormat="false" ht="15" hidden="false" customHeight="false" outlineLevel="0" collapsed="false">
      <c r="A18" s="2" t="s">
        <v>22</v>
      </c>
      <c r="B18" s="2" t="s">
        <v>30</v>
      </c>
      <c r="C18" s="2" t="s">
        <v>31</v>
      </c>
      <c r="D18" s="2" t="s">
        <v>32</v>
      </c>
      <c r="E18" s="3" t="n">
        <v>4</v>
      </c>
    </row>
    <row r="19" customFormat="false" ht="15" hidden="false" customHeight="false" outlineLevel="0" collapsed="false">
      <c r="A19" s="2" t="s">
        <v>22</v>
      </c>
      <c r="B19" s="2" t="s">
        <v>30</v>
      </c>
      <c r="C19" s="2" t="s">
        <v>15</v>
      </c>
      <c r="D19" s="2" t="s">
        <v>16</v>
      </c>
      <c r="E19" s="3" t="n">
        <v>7</v>
      </c>
    </row>
    <row r="20" customFormat="false" ht="15" hidden="false" customHeight="false" outlineLevel="0" collapsed="false">
      <c r="A20" s="2" t="s">
        <v>22</v>
      </c>
      <c r="B20" s="2" t="s">
        <v>30</v>
      </c>
      <c r="C20" s="2" t="s">
        <v>28</v>
      </c>
      <c r="D20" s="2" t="s">
        <v>29</v>
      </c>
      <c r="E20" s="3" t="n">
        <v>12</v>
      </c>
    </row>
    <row r="21" customFormat="false" ht="15" hidden="false" customHeight="false" outlineLevel="0" collapsed="false">
      <c r="A21" s="2" t="s">
        <v>22</v>
      </c>
      <c r="B21" s="2" t="s">
        <v>33</v>
      </c>
      <c r="C21" s="2" t="s">
        <v>31</v>
      </c>
      <c r="D21" s="2" t="s">
        <v>32</v>
      </c>
      <c r="E21" s="3" t="n">
        <v>7</v>
      </c>
    </row>
    <row r="22" customFormat="false" ht="15" hidden="false" customHeight="false" outlineLevel="0" collapsed="false">
      <c r="A22" s="2" t="s">
        <v>22</v>
      </c>
      <c r="B22" s="2" t="s">
        <v>33</v>
      </c>
      <c r="C22" s="2" t="s">
        <v>13</v>
      </c>
      <c r="D22" s="2" t="s">
        <v>14</v>
      </c>
      <c r="E22" s="3" t="n">
        <v>16</v>
      </c>
    </row>
    <row r="23" customFormat="false" ht="15" hidden="false" customHeight="false" outlineLevel="0" collapsed="false">
      <c r="A23" s="2" t="s">
        <v>22</v>
      </c>
      <c r="B23" s="2" t="s">
        <v>33</v>
      </c>
      <c r="C23" s="2" t="s">
        <v>11</v>
      </c>
      <c r="D23" s="2" t="s">
        <v>12</v>
      </c>
      <c r="E23" s="3" t="n">
        <v>18</v>
      </c>
    </row>
    <row r="24" customFormat="false" ht="15" hidden="false" customHeight="false" outlineLevel="0" collapsed="false">
      <c r="A24" s="2" t="s">
        <v>34</v>
      </c>
      <c r="B24" s="2" t="s">
        <v>35</v>
      </c>
      <c r="C24" s="2" t="s">
        <v>36</v>
      </c>
      <c r="D24" s="2" t="s">
        <v>37</v>
      </c>
      <c r="E24" s="3" t="n">
        <v>6</v>
      </c>
    </row>
    <row r="25" customFormat="false" ht="15" hidden="false" customHeight="false" outlineLevel="0" collapsed="false">
      <c r="A25" s="2" t="s">
        <v>34</v>
      </c>
      <c r="B25" s="2" t="s">
        <v>35</v>
      </c>
      <c r="C25" s="2" t="s">
        <v>38</v>
      </c>
      <c r="D25" s="2" t="s">
        <v>39</v>
      </c>
      <c r="E25" s="3" t="n">
        <v>8</v>
      </c>
    </row>
    <row r="26" customFormat="false" ht="15" hidden="false" customHeight="false" outlineLevel="0" collapsed="false">
      <c r="A26" s="2" t="s">
        <v>34</v>
      </c>
      <c r="B26" s="2" t="s">
        <v>35</v>
      </c>
      <c r="C26" s="2" t="s">
        <v>24</v>
      </c>
      <c r="D26" s="2" t="s">
        <v>25</v>
      </c>
      <c r="E26" s="3" t="n">
        <v>3</v>
      </c>
    </row>
    <row r="27" customFormat="false" ht="15" hidden="false" customHeight="false" outlineLevel="0" collapsed="false">
      <c r="A27" s="2" t="s">
        <v>34</v>
      </c>
      <c r="B27" s="2" t="s">
        <v>35</v>
      </c>
      <c r="C27" s="2" t="s">
        <v>40</v>
      </c>
      <c r="D27" s="2" t="s">
        <v>41</v>
      </c>
      <c r="E27" s="3" t="n">
        <v>10</v>
      </c>
    </row>
    <row r="28" customFormat="false" ht="15" hidden="false" customHeight="false" outlineLevel="0" collapsed="false">
      <c r="A28" s="2" t="s">
        <v>34</v>
      </c>
      <c r="B28" s="2" t="s">
        <v>35</v>
      </c>
      <c r="C28" s="2" t="s">
        <v>28</v>
      </c>
      <c r="D28" s="2" t="s">
        <v>29</v>
      </c>
      <c r="E28" s="3" t="n">
        <v>17</v>
      </c>
    </row>
    <row r="29" customFormat="false" ht="15" hidden="false" customHeight="false" outlineLevel="0" collapsed="false">
      <c r="A29" s="2" t="s">
        <v>34</v>
      </c>
      <c r="B29" s="2" t="s">
        <v>35</v>
      </c>
      <c r="C29" s="2" t="s">
        <v>15</v>
      </c>
      <c r="D29" s="2" t="s">
        <v>16</v>
      </c>
      <c r="E29" s="3" t="n">
        <v>16</v>
      </c>
    </row>
    <row r="30" customFormat="false" ht="15" hidden="false" customHeight="false" outlineLevel="0" collapsed="false">
      <c r="A30" s="2" t="s">
        <v>34</v>
      </c>
      <c r="B30" s="2" t="s">
        <v>42</v>
      </c>
      <c r="C30" s="2" t="s">
        <v>38</v>
      </c>
      <c r="D30" s="2" t="s">
        <v>39</v>
      </c>
      <c r="E30" s="3" t="n">
        <v>6</v>
      </c>
    </row>
    <row r="31" customFormat="false" ht="15" hidden="false" customHeight="false" outlineLevel="0" collapsed="false">
      <c r="A31" s="2" t="s">
        <v>34</v>
      </c>
      <c r="B31" s="2" t="s">
        <v>42</v>
      </c>
      <c r="C31" s="2" t="s">
        <v>28</v>
      </c>
      <c r="D31" s="2" t="s">
        <v>29</v>
      </c>
      <c r="E31" s="3" t="n">
        <v>11</v>
      </c>
    </row>
    <row r="32" customFormat="false" ht="15" hidden="false" customHeight="false" outlineLevel="0" collapsed="false">
      <c r="A32" s="2" t="s">
        <v>34</v>
      </c>
      <c r="B32" s="2" t="s">
        <v>42</v>
      </c>
      <c r="C32" s="2" t="s">
        <v>13</v>
      </c>
      <c r="D32" s="2" t="s">
        <v>14</v>
      </c>
      <c r="E32" s="3" t="n">
        <v>5</v>
      </c>
    </row>
    <row r="33" customFormat="false" ht="15" hidden="false" customHeight="false" outlineLevel="0" collapsed="false">
      <c r="A33" s="2" t="s">
        <v>34</v>
      </c>
      <c r="B33" s="2" t="s">
        <v>42</v>
      </c>
      <c r="C33" s="2" t="s">
        <v>15</v>
      </c>
      <c r="D33" s="2" t="s">
        <v>16</v>
      </c>
      <c r="E33" s="3" t="n">
        <v>16</v>
      </c>
    </row>
    <row r="34" customFormat="false" ht="15" hidden="false" customHeight="false" outlineLevel="0" collapsed="false">
      <c r="A34" s="2" t="s">
        <v>34</v>
      </c>
      <c r="B34" s="2" t="s">
        <v>42</v>
      </c>
      <c r="C34" s="2" t="s">
        <v>18</v>
      </c>
      <c r="D34" s="2" t="s">
        <v>19</v>
      </c>
      <c r="E34" s="3" t="n">
        <v>14</v>
      </c>
    </row>
    <row r="35" customFormat="false" ht="15" hidden="false" customHeight="false" outlineLevel="0" collapsed="false">
      <c r="A35" s="2" t="s">
        <v>34</v>
      </c>
      <c r="B35" s="2" t="s">
        <v>43</v>
      </c>
      <c r="C35" s="2" t="s">
        <v>13</v>
      </c>
      <c r="D35" s="2" t="s">
        <v>14</v>
      </c>
      <c r="E35" s="3" t="n">
        <v>11</v>
      </c>
    </row>
    <row r="36" customFormat="false" ht="15" hidden="false" customHeight="false" outlineLevel="0" collapsed="false">
      <c r="A36" s="2" t="s">
        <v>34</v>
      </c>
      <c r="B36" s="2" t="s">
        <v>43</v>
      </c>
      <c r="C36" s="2" t="s">
        <v>31</v>
      </c>
      <c r="D36" s="2" t="s">
        <v>32</v>
      </c>
      <c r="E36" s="3" t="n">
        <v>12</v>
      </c>
    </row>
    <row r="37" customFormat="false" ht="15" hidden="false" customHeight="false" outlineLevel="0" collapsed="false">
      <c r="A37" s="2" t="s">
        <v>34</v>
      </c>
      <c r="B37" s="2" t="s">
        <v>43</v>
      </c>
      <c r="C37" s="2" t="s">
        <v>36</v>
      </c>
      <c r="D37" s="2" t="s">
        <v>37</v>
      </c>
      <c r="E37" s="3" t="n">
        <v>16</v>
      </c>
    </row>
    <row r="38" customFormat="false" ht="15" hidden="false" customHeight="false" outlineLevel="0" collapsed="false">
      <c r="A38" s="2" t="s">
        <v>34</v>
      </c>
      <c r="B38" s="2" t="s">
        <v>44</v>
      </c>
      <c r="C38" s="2" t="s">
        <v>13</v>
      </c>
      <c r="D38" s="2" t="s">
        <v>14</v>
      </c>
      <c r="E38" s="3" t="n">
        <v>10</v>
      </c>
    </row>
    <row r="39" customFormat="false" ht="15" hidden="false" customHeight="false" outlineLevel="0" collapsed="false">
      <c r="A39" s="2" t="s">
        <v>34</v>
      </c>
      <c r="B39" s="2" t="s">
        <v>44</v>
      </c>
      <c r="C39" s="2" t="s">
        <v>20</v>
      </c>
      <c r="D39" s="2" t="s">
        <v>21</v>
      </c>
      <c r="E39" s="3" t="n">
        <v>15</v>
      </c>
    </row>
    <row r="40" customFormat="false" ht="15" hidden="false" customHeight="false" outlineLevel="0" collapsed="false">
      <c r="A40" s="2" t="s">
        <v>34</v>
      </c>
      <c r="B40" s="2" t="s">
        <v>44</v>
      </c>
      <c r="C40" s="2" t="s">
        <v>45</v>
      </c>
      <c r="D40" s="2" t="s">
        <v>46</v>
      </c>
      <c r="E40" s="3" t="n">
        <v>10</v>
      </c>
    </row>
    <row r="41" customFormat="false" ht="15" hidden="false" customHeight="false" outlineLevel="0" collapsed="false">
      <c r="A41" s="2" t="s">
        <v>34</v>
      </c>
      <c r="B41" s="2" t="s">
        <v>44</v>
      </c>
      <c r="C41" s="2" t="s">
        <v>47</v>
      </c>
      <c r="D41" s="2" t="s">
        <v>48</v>
      </c>
      <c r="E41" s="3" t="n">
        <v>13</v>
      </c>
    </row>
    <row r="42" customFormat="false" ht="15" hidden="false" customHeight="false" outlineLevel="0" collapsed="false">
      <c r="A42" s="2" t="s">
        <v>34</v>
      </c>
      <c r="B42" s="2" t="s">
        <v>44</v>
      </c>
      <c r="C42" s="2" t="s">
        <v>24</v>
      </c>
      <c r="D42" s="2" t="s">
        <v>25</v>
      </c>
      <c r="E42" s="3" t="n">
        <v>12</v>
      </c>
    </row>
    <row r="43" customFormat="false" ht="15" hidden="false" customHeight="false" outlineLevel="0" collapsed="false">
      <c r="A43" s="2" t="s">
        <v>34</v>
      </c>
      <c r="B43" s="2" t="s">
        <v>44</v>
      </c>
      <c r="C43" s="2" t="s">
        <v>49</v>
      </c>
      <c r="D43" s="2" t="s">
        <v>50</v>
      </c>
      <c r="E43" s="3" t="n">
        <v>1</v>
      </c>
    </row>
    <row r="44" customFormat="false" ht="15" hidden="false" customHeight="false" outlineLevel="0" collapsed="false">
      <c r="A44" s="2" t="s">
        <v>51</v>
      </c>
      <c r="B44" s="2" t="s">
        <v>52</v>
      </c>
      <c r="C44" s="2" t="s">
        <v>40</v>
      </c>
      <c r="D44" s="2" t="s">
        <v>41</v>
      </c>
      <c r="E44" s="3" t="n">
        <v>10</v>
      </c>
    </row>
    <row r="45" customFormat="false" ht="15" hidden="false" customHeight="false" outlineLevel="0" collapsed="false">
      <c r="A45" s="2" t="s">
        <v>51</v>
      </c>
      <c r="B45" s="2" t="s">
        <v>52</v>
      </c>
      <c r="C45" s="2" t="s">
        <v>53</v>
      </c>
      <c r="D45" s="2" t="s">
        <v>54</v>
      </c>
      <c r="E45" s="3" t="n">
        <v>5</v>
      </c>
    </row>
    <row r="46" customFormat="false" ht="15" hidden="false" customHeight="false" outlineLevel="0" collapsed="false">
      <c r="A46" s="2" t="s">
        <v>51</v>
      </c>
      <c r="B46" s="2" t="s">
        <v>52</v>
      </c>
      <c r="C46" s="2" t="s">
        <v>15</v>
      </c>
      <c r="D46" s="2" t="s">
        <v>16</v>
      </c>
      <c r="E46" s="3" t="n">
        <v>8</v>
      </c>
    </row>
    <row r="47" customFormat="false" ht="15" hidden="false" customHeight="false" outlineLevel="0" collapsed="false">
      <c r="A47" s="2" t="s">
        <v>51</v>
      </c>
      <c r="B47" s="2" t="s">
        <v>52</v>
      </c>
      <c r="C47" s="2" t="s">
        <v>47</v>
      </c>
      <c r="D47" s="2" t="s">
        <v>48</v>
      </c>
      <c r="E47" s="3" t="n">
        <v>13</v>
      </c>
    </row>
    <row r="48" customFormat="false" ht="15" hidden="false" customHeight="false" outlineLevel="0" collapsed="false">
      <c r="A48" s="2" t="s">
        <v>51</v>
      </c>
      <c r="B48" s="2" t="s">
        <v>52</v>
      </c>
      <c r="C48" s="2" t="s">
        <v>11</v>
      </c>
      <c r="D48" s="2" t="s">
        <v>12</v>
      </c>
      <c r="E48" s="3" t="n">
        <v>13</v>
      </c>
    </row>
    <row r="49" customFormat="false" ht="15" hidden="false" customHeight="false" outlineLevel="0" collapsed="false">
      <c r="A49" s="2" t="s">
        <v>51</v>
      </c>
      <c r="B49" s="2" t="s">
        <v>52</v>
      </c>
      <c r="C49" s="2" t="s">
        <v>31</v>
      </c>
      <c r="D49" s="2" t="s">
        <v>32</v>
      </c>
      <c r="E49" s="3" t="n">
        <v>16</v>
      </c>
    </row>
    <row r="50" customFormat="false" ht="15" hidden="false" customHeight="false" outlineLevel="0" collapsed="false">
      <c r="A50" s="2" t="s">
        <v>51</v>
      </c>
      <c r="B50" s="2" t="s">
        <v>55</v>
      </c>
      <c r="C50" s="2" t="s">
        <v>53</v>
      </c>
      <c r="D50" s="2" t="s">
        <v>54</v>
      </c>
      <c r="E50" s="3" t="n">
        <v>18</v>
      </c>
    </row>
    <row r="51" customFormat="false" ht="15" hidden="false" customHeight="false" outlineLevel="0" collapsed="false">
      <c r="A51" s="2" t="s">
        <v>51</v>
      </c>
      <c r="B51" s="2" t="s">
        <v>55</v>
      </c>
      <c r="C51" s="2" t="s">
        <v>38</v>
      </c>
      <c r="D51" s="2" t="s">
        <v>39</v>
      </c>
      <c r="E51" s="3" t="n">
        <v>9</v>
      </c>
    </row>
    <row r="52" customFormat="false" ht="15" hidden="false" customHeight="false" outlineLevel="0" collapsed="false">
      <c r="A52" s="2" t="s">
        <v>51</v>
      </c>
      <c r="B52" s="2" t="s">
        <v>55</v>
      </c>
      <c r="C52" s="2" t="s">
        <v>9</v>
      </c>
      <c r="D52" s="2" t="s">
        <v>10</v>
      </c>
      <c r="E52" s="3" t="n">
        <v>5</v>
      </c>
    </row>
    <row r="53" customFormat="false" ht="15" hidden="false" customHeight="false" outlineLevel="0" collapsed="false">
      <c r="A53" s="2" t="s">
        <v>56</v>
      </c>
      <c r="B53" s="2" t="s">
        <v>57</v>
      </c>
      <c r="C53" s="2" t="s">
        <v>31</v>
      </c>
      <c r="D53" s="2" t="s">
        <v>32</v>
      </c>
      <c r="E53" s="3" t="n">
        <v>5</v>
      </c>
    </row>
    <row r="54" customFormat="false" ht="15" hidden="false" customHeight="false" outlineLevel="0" collapsed="false">
      <c r="A54" s="2" t="s">
        <v>56</v>
      </c>
      <c r="B54" s="2" t="s">
        <v>57</v>
      </c>
      <c r="C54" s="2" t="s">
        <v>45</v>
      </c>
      <c r="D54" s="2" t="s">
        <v>46</v>
      </c>
      <c r="E54" s="3" t="n">
        <v>3</v>
      </c>
    </row>
    <row r="55" customFormat="false" ht="15" hidden="false" customHeight="false" outlineLevel="0" collapsed="false">
      <c r="A55" s="2" t="s">
        <v>56</v>
      </c>
      <c r="B55" s="2" t="s">
        <v>57</v>
      </c>
      <c r="C55" s="2" t="s">
        <v>18</v>
      </c>
      <c r="D55" s="2" t="s">
        <v>19</v>
      </c>
      <c r="E55" s="3" t="n">
        <v>6</v>
      </c>
    </row>
    <row r="56" customFormat="false" ht="15" hidden="false" customHeight="false" outlineLevel="0" collapsed="false">
      <c r="A56" s="2" t="s">
        <v>56</v>
      </c>
      <c r="B56" s="2" t="s">
        <v>57</v>
      </c>
      <c r="C56" s="2" t="s">
        <v>40</v>
      </c>
      <c r="D56" s="2" t="s">
        <v>41</v>
      </c>
      <c r="E56" s="3" t="n">
        <v>5</v>
      </c>
    </row>
    <row r="57" customFormat="false" ht="15" hidden="false" customHeight="false" outlineLevel="0" collapsed="false">
      <c r="A57" s="2" t="s">
        <v>56</v>
      </c>
      <c r="B57" s="2" t="s">
        <v>57</v>
      </c>
      <c r="C57" s="2" t="s">
        <v>9</v>
      </c>
      <c r="D57" s="2" t="s">
        <v>10</v>
      </c>
      <c r="E57" s="3" t="n">
        <v>8</v>
      </c>
    </row>
    <row r="58" customFormat="false" ht="15" hidden="false" customHeight="false" outlineLevel="0" collapsed="false">
      <c r="A58" s="2" t="s">
        <v>56</v>
      </c>
      <c r="B58" s="2" t="s">
        <v>57</v>
      </c>
      <c r="C58" s="2" t="s">
        <v>15</v>
      </c>
      <c r="D58" s="2" t="s">
        <v>16</v>
      </c>
      <c r="E58" s="3" t="n">
        <v>8</v>
      </c>
    </row>
    <row r="59" customFormat="false" ht="15" hidden="false" customHeight="false" outlineLevel="0" collapsed="false">
      <c r="A59" s="2" t="s">
        <v>56</v>
      </c>
      <c r="B59" s="2" t="s">
        <v>58</v>
      </c>
      <c r="C59" s="2" t="s">
        <v>47</v>
      </c>
      <c r="D59" s="2" t="s">
        <v>48</v>
      </c>
      <c r="E59" s="3" t="n">
        <v>9</v>
      </c>
    </row>
    <row r="60" customFormat="false" ht="15" hidden="false" customHeight="false" outlineLevel="0" collapsed="false">
      <c r="A60" s="2" t="s">
        <v>56</v>
      </c>
      <c r="B60" s="2" t="s">
        <v>58</v>
      </c>
      <c r="C60" s="2" t="s">
        <v>24</v>
      </c>
      <c r="D60" s="2" t="s">
        <v>25</v>
      </c>
      <c r="E60" s="3" t="n">
        <v>10</v>
      </c>
    </row>
    <row r="61" customFormat="false" ht="15" hidden="false" customHeight="false" outlineLevel="0" collapsed="false">
      <c r="A61" s="2" t="s">
        <v>56</v>
      </c>
      <c r="B61" s="2" t="s">
        <v>58</v>
      </c>
      <c r="C61" s="2" t="s">
        <v>53</v>
      </c>
      <c r="D61" s="2" t="s">
        <v>54</v>
      </c>
      <c r="E61" s="3" t="n">
        <v>1</v>
      </c>
    </row>
    <row r="62" customFormat="false" ht="15" hidden="false" customHeight="false" outlineLevel="0" collapsed="false">
      <c r="A62" s="2" t="s">
        <v>56</v>
      </c>
      <c r="B62" s="2" t="s">
        <v>59</v>
      </c>
      <c r="C62" s="2" t="s">
        <v>18</v>
      </c>
      <c r="D62" s="2" t="s">
        <v>19</v>
      </c>
      <c r="E62" s="3" t="n">
        <v>5</v>
      </c>
    </row>
    <row r="63" customFormat="false" ht="15" hidden="false" customHeight="false" outlineLevel="0" collapsed="false">
      <c r="A63" s="2" t="s">
        <v>56</v>
      </c>
      <c r="B63" s="2" t="s">
        <v>59</v>
      </c>
      <c r="C63" s="2" t="s">
        <v>31</v>
      </c>
      <c r="D63" s="2" t="s">
        <v>32</v>
      </c>
      <c r="E63" s="3" t="n">
        <v>17</v>
      </c>
    </row>
    <row r="64" customFormat="false" ht="15" hidden="false" customHeight="false" outlineLevel="0" collapsed="false">
      <c r="A64" s="2" t="s">
        <v>56</v>
      </c>
      <c r="B64" s="2" t="s">
        <v>59</v>
      </c>
      <c r="C64" s="2" t="s">
        <v>40</v>
      </c>
      <c r="D64" s="2" t="s">
        <v>41</v>
      </c>
      <c r="E64" s="3" t="n">
        <v>2</v>
      </c>
    </row>
    <row r="65" customFormat="false" ht="15" hidden="false" customHeight="false" outlineLevel="0" collapsed="false">
      <c r="A65" s="2" t="s">
        <v>56</v>
      </c>
      <c r="B65" s="2" t="s">
        <v>59</v>
      </c>
      <c r="C65" s="2" t="s">
        <v>36</v>
      </c>
      <c r="D65" s="2" t="s">
        <v>37</v>
      </c>
      <c r="E65" s="3" t="n">
        <v>15</v>
      </c>
    </row>
    <row r="66" customFormat="false" ht="15" hidden="false" customHeight="false" outlineLevel="0" collapsed="false">
      <c r="A66" s="2" t="s">
        <v>60</v>
      </c>
      <c r="B66" s="2" t="s">
        <v>61</v>
      </c>
      <c r="C66" s="2" t="s">
        <v>9</v>
      </c>
      <c r="D66" s="2" t="s">
        <v>10</v>
      </c>
      <c r="E66" s="3" t="n">
        <v>13</v>
      </c>
    </row>
    <row r="67" customFormat="false" ht="15" hidden="false" customHeight="false" outlineLevel="0" collapsed="false">
      <c r="A67" s="2" t="s">
        <v>60</v>
      </c>
      <c r="B67" s="2" t="s">
        <v>61</v>
      </c>
      <c r="C67" s="2" t="s">
        <v>20</v>
      </c>
      <c r="D67" s="2" t="s">
        <v>21</v>
      </c>
      <c r="E67" s="3" t="n">
        <v>2</v>
      </c>
    </row>
    <row r="68" customFormat="false" ht="15" hidden="false" customHeight="false" outlineLevel="0" collapsed="false">
      <c r="A68" s="2" t="s">
        <v>60</v>
      </c>
      <c r="B68" s="2" t="s">
        <v>61</v>
      </c>
      <c r="C68" s="2" t="s">
        <v>24</v>
      </c>
      <c r="D68" s="2" t="s">
        <v>25</v>
      </c>
      <c r="E68" s="3" t="n">
        <v>7</v>
      </c>
    </row>
    <row r="69" customFormat="false" ht="15" hidden="false" customHeight="false" outlineLevel="0" collapsed="false">
      <c r="A69" s="2" t="s">
        <v>60</v>
      </c>
      <c r="B69" s="2" t="s">
        <v>61</v>
      </c>
      <c r="C69" s="2" t="s">
        <v>15</v>
      </c>
      <c r="D69" s="2" t="s">
        <v>16</v>
      </c>
      <c r="E69" s="3" t="n">
        <v>3</v>
      </c>
    </row>
    <row r="70" customFormat="false" ht="15" hidden="false" customHeight="false" outlineLevel="0" collapsed="false">
      <c r="A70" s="2" t="s">
        <v>60</v>
      </c>
      <c r="B70" s="2" t="s">
        <v>61</v>
      </c>
      <c r="C70" s="2" t="s">
        <v>47</v>
      </c>
      <c r="D70" s="2" t="s">
        <v>48</v>
      </c>
      <c r="E70" s="3" t="n">
        <v>7</v>
      </c>
    </row>
    <row r="71" customFormat="false" ht="15" hidden="false" customHeight="false" outlineLevel="0" collapsed="false">
      <c r="A71" s="2" t="s">
        <v>60</v>
      </c>
      <c r="B71" s="2" t="s">
        <v>61</v>
      </c>
      <c r="C71" s="2" t="s">
        <v>36</v>
      </c>
      <c r="D71" s="2" t="s">
        <v>37</v>
      </c>
      <c r="E71" s="3" t="n">
        <v>15</v>
      </c>
    </row>
    <row r="72" customFormat="false" ht="15" hidden="false" customHeight="false" outlineLevel="0" collapsed="false">
      <c r="A72" s="2" t="s">
        <v>60</v>
      </c>
      <c r="B72" s="2" t="s">
        <v>62</v>
      </c>
      <c r="C72" s="2" t="s">
        <v>15</v>
      </c>
      <c r="D72" s="2" t="s">
        <v>16</v>
      </c>
      <c r="E72" s="3" t="n">
        <v>1</v>
      </c>
    </row>
    <row r="73" customFormat="false" ht="15" hidden="false" customHeight="false" outlineLevel="0" collapsed="false">
      <c r="A73" s="2" t="s">
        <v>60</v>
      </c>
      <c r="B73" s="2" t="s">
        <v>62</v>
      </c>
      <c r="C73" s="2" t="s">
        <v>36</v>
      </c>
      <c r="D73" s="2" t="s">
        <v>37</v>
      </c>
      <c r="E73" s="3" t="n">
        <v>5</v>
      </c>
    </row>
    <row r="74" customFormat="false" ht="15" hidden="false" customHeight="false" outlineLevel="0" collapsed="false">
      <c r="A74" s="2" t="s">
        <v>60</v>
      </c>
      <c r="B74" s="2" t="s">
        <v>62</v>
      </c>
      <c r="C74" s="2" t="s">
        <v>11</v>
      </c>
      <c r="D74" s="2" t="s">
        <v>12</v>
      </c>
      <c r="E74" s="3" t="n">
        <v>18</v>
      </c>
    </row>
    <row r="75" customFormat="false" ht="15" hidden="false" customHeight="false" outlineLevel="0" collapsed="false">
      <c r="A75" s="2" t="s">
        <v>60</v>
      </c>
      <c r="B75" s="2" t="s">
        <v>62</v>
      </c>
      <c r="C75" s="2" t="s">
        <v>20</v>
      </c>
      <c r="D75" s="2" t="s">
        <v>21</v>
      </c>
      <c r="E75" s="3" t="n">
        <v>4</v>
      </c>
    </row>
    <row r="76" customFormat="false" ht="15" hidden="false" customHeight="false" outlineLevel="0" collapsed="false">
      <c r="A76" s="2" t="s">
        <v>63</v>
      </c>
      <c r="B76" s="2" t="s">
        <v>64</v>
      </c>
      <c r="C76" s="2" t="s">
        <v>20</v>
      </c>
      <c r="D76" s="2" t="s">
        <v>21</v>
      </c>
      <c r="E76" s="3" t="n">
        <v>5</v>
      </c>
    </row>
    <row r="77" customFormat="false" ht="15" hidden="false" customHeight="false" outlineLevel="0" collapsed="false">
      <c r="A77" s="2" t="s">
        <v>63</v>
      </c>
      <c r="B77" s="2" t="s">
        <v>64</v>
      </c>
      <c r="C77" s="2" t="s">
        <v>49</v>
      </c>
      <c r="D77" s="2" t="s">
        <v>50</v>
      </c>
      <c r="E77" s="3" t="n">
        <v>9</v>
      </c>
    </row>
    <row r="78" customFormat="false" ht="15" hidden="false" customHeight="false" outlineLevel="0" collapsed="false">
      <c r="A78" s="2" t="s">
        <v>63</v>
      </c>
      <c r="B78" s="2" t="s">
        <v>64</v>
      </c>
      <c r="C78" s="2" t="s">
        <v>13</v>
      </c>
      <c r="D78" s="2" t="s">
        <v>14</v>
      </c>
      <c r="E78" s="3" t="n">
        <v>12</v>
      </c>
    </row>
    <row r="79" customFormat="false" ht="15" hidden="false" customHeight="false" outlineLevel="0" collapsed="false">
      <c r="A79" s="2" t="s">
        <v>63</v>
      </c>
      <c r="B79" s="2" t="s">
        <v>64</v>
      </c>
      <c r="C79" s="2" t="s">
        <v>65</v>
      </c>
      <c r="D79" s="2" t="s">
        <v>66</v>
      </c>
      <c r="E79" s="3" t="n">
        <v>12</v>
      </c>
    </row>
    <row r="80" customFormat="false" ht="15" hidden="false" customHeight="false" outlineLevel="0" collapsed="false">
      <c r="A80" s="2" t="s">
        <v>63</v>
      </c>
      <c r="B80" s="2" t="s">
        <v>64</v>
      </c>
      <c r="C80" s="2" t="s">
        <v>9</v>
      </c>
      <c r="D80" s="2" t="s">
        <v>10</v>
      </c>
      <c r="E80" s="3" t="n">
        <v>16</v>
      </c>
    </row>
    <row r="81" customFormat="false" ht="15" hidden="false" customHeight="false" outlineLevel="0" collapsed="false">
      <c r="A81" s="2" t="s">
        <v>63</v>
      </c>
      <c r="B81" s="2" t="s">
        <v>67</v>
      </c>
      <c r="C81" s="2" t="s">
        <v>15</v>
      </c>
      <c r="D81" s="2" t="s">
        <v>16</v>
      </c>
      <c r="E81" s="3" t="n">
        <v>16</v>
      </c>
    </row>
    <row r="82" customFormat="false" ht="15" hidden="false" customHeight="false" outlineLevel="0" collapsed="false">
      <c r="A82" s="2" t="s">
        <v>63</v>
      </c>
      <c r="B82" s="2" t="s">
        <v>67</v>
      </c>
      <c r="C82" s="2" t="s">
        <v>47</v>
      </c>
      <c r="D82" s="2" t="s">
        <v>48</v>
      </c>
      <c r="E82" s="3" t="n">
        <v>16</v>
      </c>
    </row>
    <row r="83" customFormat="false" ht="15" hidden="false" customHeight="false" outlineLevel="0" collapsed="false">
      <c r="A83" s="2" t="s">
        <v>63</v>
      </c>
      <c r="B83" s="2" t="s">
        <v>67</v>
      </c>
      <c r="C83" s="2" t="s">
        <v>38</v>
      </c>
      <c r="D83" s="2" t="s">
        <v>39</v>
      </c>
      <c r="E83" s="3" t="n">
        <v>10</v>
      </c>
    </row>
    <row r="84" customFormat="false" ht="15" hidden="false" customHeight="false" outlineLevel="0" collapsed="false">
      <c r="A84" s="2" t="s">
        <v>63</v>
      </c>
      <c r="B84" s="2" t="s">
        <v>68</v>
      </c>
      <c r="C84" s="2" t="s">
        <v>7</v>
      </c>
      <c r="D84" s="2" t="s">
        <v>8</v>
      </c>
      <c r="E84" s="3" t="n">
        <v>9</v>
      </c>
    </row>
    <row r="85" customFormat="false" ht="15" hidden="false" customHeight="false" outlineLevel="0" collapsed="false">
      <c r="A85" s="2" t="s">
        <v>63</v>
      </c>
      <c r="B85" s="2" t="s">
        <v>68</v>
      </c>
      <c r="C85" s="2" t="s">
        <v>15</v>
      </c>
      <c r="D85" s="2" t="s">
        <v>16</v>
      </c>
      <c r="E85" s="3" t="n">
        <v>16</v>
      </c>
    </row>
    <row r="86" customFormat="false" ht="15" hidden="false" customHeight="false" outlineLevel="0" collapsed="false">
      <c r="A86" s="2" t="s">
        <v>63</v>
      </c>
      <c r="B86" s="2" t="s">
        <v>68</v>
      </c>
      <c r="C86" s="2" t="s">
        <v>36</v>
      </c>
      <c r="D86" s="2" t="s">
        <v>37</v>
      </c>
      <c r="E86" s="3" t="n">
        <v>6</v>
      </c>
    </row>
    <row r="87" customFormat="false" ht="15" hidden="false" customHeight="false" outlineLevel="0" collapsed="false">
      <c r="A87" s="2" t="s">
        <v>69</v>
      </c>
      <c r="B87" s="2" t="s">
        <v>70</v>
      </c>
      <c r="C87" s="2" t="s">
        <v>65</v>
      </c>
      <c r="D87" s="2" t="s">
        <v>66</v>
      </c>
      <c r="E87" s="3" t="n">
        <v>5</v>
      </c>
    </row>
    <row r="88" customFormat="false" ht="15" hidden="false" customHeight="false" outlineLevel="0" collapsed="false">
      <c r="A88" s="2" t="s">
        <v>69</v>
      </c>
      <c r="B88" s="2" t="s">
        <v>70</v>
      </c>
      <c r="C88" s="2" t="s">
        <v>71</v>
      </c>
      <c r="D88" s="2" t="s">
        <v>72</v>
      </c>
      <c r="E88" s="3" t="n">
        <v>18</v>
      </c>
    </row>
    <row r="89" customFormat="false" ht="15" hidden="false" customHeight="false" outlineLevel="0" collapsed="false">
      <c r="A89" s="2" t="s">
        <v>69</v>
      </c>
      <c r="B89" s="2" t="s">
        <v>70</v>
      </c>
      <c r="C89" s="2" t="s">
        <v>40</v>
      </c>
      <c r="D89" s="2" t="s">
        <v>41</v>
      </c>
      <c r="E89" s="3" t="n">
        <v>1</v>
      </c>
    </row>
    <row r="90" customFormat="false" ht="15" hidden="false" customHeight="false" outlineLevel="0" collapsed="false">
      <c r="A90" s="2" t="s">
        <v>69</v>
      </c>
      <c r="B90" s="2" t="s">
        <v>73</v>
      </c>
      <c r="C90" s="2" t="s">
        <v>13</v>
      </c>
      <c r="D90" s="2" t="s">
        <v>14</v>
      </c>
      <c r="E90" s="3" t="n">
        <v>12</v>
      </c>
    </row>
    <row r="91" customFormat="false" ht="15" hidden="false" customHeight="false" outlineLevel="0" collapsed="false">
      <c r="A91" s="2" t="s">
        <v>69</v>
      </c>
      <c r="B91" s="2" t="s">
        <v>73</v>
      </c>
      <c r="C91" s="2" t="s">
        <v>45</v>
      </c>
      <c r="D91" s="2" t="s">
        <v>46</v>
      </c>
      <c r="E91" s="3" t="n">
        <v>8</v>
      </c>
    </row>
    <row r="92" customFormat="false" ht="15" hidden="false" customHeight="false" outlineLevel="0" collapsed="false">
      <c r="A92" s="2" t="s">
        <v>69</v>
      </c>
      <c r="B92" s="2" t="s">
        <v>73</v>
      </c>
      <c r="C92" s="2" t="s">
        <v>71</v>
      </c>
      <c r="D92" s="2" t="s">
        <v>72</v>
      </c>
      <c r="E92" s="3" t="n">
        <v>18</v>
      </c>
    </row>
    <row r="93" customFormat="false" ht="15" hidden="false" customHeight="false" outlineLevel="0" collapsed="false">
      <c r="A93" s="2" t="s">
        <v>69</v>
      </c>
      <c r="B93" s="2" t="s">
        <v>73</v>
      </c>
      <c r="C93" s="2" t="s">
        <v>40</v>
      </c>
      <c r="D93" s="2" t="s">
        <v>41</v>
      </c>
      <c r="E93" s="3" t="n">
        <v>18</v>
      </c>
    </row>
    <row r="94" customFormat="false" ht="15" hidden="false" customHeight="false" outlineLevel="0" collapsed="false">
      <c r="A94" s="2" t="s">
        <v>69</v>
      </c>
      <c r="B94" s="2" t="s">
        <v>73</v>
      </c>
      <c r="C94" s="2" t="s">
        <v>53</v>
      </c>
      <c r="D94" s="2" t="s">
        <v>54</v>
      </c>
      <c r="E94" s="3" t="n">
        <v>17</v>
      </c>
    </row>
    <row r="95" customFormat="false" ht="15" hidden="false" customHeight="false" outlineLevel="0" collapsed="false">
      <c r="A95" s="2" t="s">
        <v>69</v>
      </c>
      <c r="B95" s="2" t="s">
        <v>74</v>
      </c>
      <c r="C95" s="2" t="s">
        <v>26</v>
      </c>
      <c r="D95" s="2" t="s">
        <v>27</v>
      </c>
      <c r="E95" s="3" t="n">
        <v>7</v>
      </c>
    </row>
    <row r="96" customFormat="false" ht="15" hidden="false" customHeight="false" outlineLevel="0" collapsed="false">
      <c r="A96" s="2" t="s">
        <v>69</v>
      </c>
      <c r="B96" s="2" t="s">
        <v>74</v>
      </c>
      <c r="C96" s="2" t="s">
        <v>65</v>
      </c>
      <c r="D96" s="2" t="s">
        <v>66</v>
      </c>
      <c r="E96" s="3" t="n">
        <v>17</v>
      </c>
    </row>
    <row r="97" customFormat="false" ht="15" hidden="false" customHeight="false" outlineLevel="0" collapsed="false">
      <c r="A97" s="2" t="s">
        <v>69</v>
      </c>
      <c r="B97" s="2" t="s">
        <v>74</v>
      </c>
      <c r="C97" s="2" t="s">
        <v>20</v>
      </c>
      <c r="D97" s="2" t="s">
        <v>21</v>
      </c>
      <c r="E97" s="3" t="n">
        <v>16</v>
      </c>
    </row>
    <row r="98" customFormat="false" ht="15" hidden="false" customHeight="false" outlineLevel="0" collapsed="false">
      <c r="A98" s="2" t="s">
        <v>69</v>
      </c>
      <c r="B98" s="2" t="s">
        <v>74</v>
      </c>
      <c r="C98" s="2" t="s">
        <v>9</v>
      </c>
      <c r="D98" s="2" t="s">
        <v>10</v>
      </c>
      <c r="E98" s="3" t="n">
        <v>12</v>
      </c>
    </row>
    <row r="99" customFormat="false" ht="15" hidden="false" customHeight="false" outlineLevel="0" collapsed="false">
      <c r="A99" s="2" t="s">
        <v>69</v>
      </c>
      <c r="B99" s="2" t="s">
        <v>74</v>
      </c>
      <c r="C99" s="2" t="s">
        <v>31</v>
      </c>
      <c r="D99" s="2" t="s">
        <v>32</v>
      </c>
      <c r="E99" s="3" t="n">
        <v>1</v>
      </c>
    </row>
    <row r="100" customFormat="false" ht="15" hidden="false" customHeight="false" outlineLevel="0" collapsed="false">
      <c r="A100" s="2" t="s">
        <v>75</v>
      </c>
      <c r="B100" s="2" t="s">
        <v>76</v>
      </c>
      <c r="C100" s="2" t="s">
        <v>45</v>
      </c>
      <c r="D100" s="2" t="s">
        <v>46</v>
      </c>
      <c r="E100" s="3" t="n">
        <v>7</v>
      </c>
    </row>
    <row r="101" customFormat="false" ht="15" hidden="false" customHeight="false" outlineLevel="0" collapsed="false">
      <c r="A101" s="2" t="s">
        <v>75</v>
      </c>
      <c r="B101" s="2" t="s">
        <v>76</v>
      </c>
      <c r="C101" s="2" t="s">
        <v>47</v>
      </c>
      <c r="D101" s="2" t="s">
        <v>48</v>
      </c>
      <c r="E101" s="3" t="n">
        <v>12</v>
      </c>
    </row>
    <row r="102" customFormat="false" ht="15" hidden="false" customHeight="false" outlineLevel="0" collapsed="false">
      <c r="A102" s="2" t="s">
        <v>75</v>
      </c>
      <c r="B102" s="2" t="s">
        <v>76</v>
      </c>
      <c r="C102" s="2" t="s">
        <v>20</v>
      </c>
      <c r="D102" s="2" t="s">
        <v>21</v>
      </c>
      <c r="E102" s="3" t="n">
        <v>15</v>
      </c>
    </row>
    <row r="103" customFormat="false" ht="15" hidden="false" customHeight="false" outlineLevel="0" collapsed="false">
      <c r="A103" s="2" t="s">
        <v>75</v>
      </c>
      <c r="B103" s="2" t="s">
        <v>77</v>
      </c>
      <c r="C103" s="2" t="s">
        <v>40</v>
      </c>
      <c r="D103" s="2" t="s">
        <v>41</v>
      </c>
      <c r="E103" s="3" t="n">
        <v>16</v>
      </c>
    </row>
    <row r="104" customFormat="false" ht="15" hidden="false" customHeight="false" outlineLevel="0" collapsed="false">
      <c r="A104" s="2" t="s">
        <v>75</v>
      </c>
      <c r="B104" s="2" t="s">
        <v>77</v>
      </c>
      <c r="C104" s="2" t="s">
        <v>13</v>
      </c>
      <c r="D104" s="2" t="s">
        <v>14</v>
      </c>
      <c r="E104" s="3" t="n">
        <v>7</v>
      </c>
    </row>
    <row r="105" customFormat="false" ht="15" hidden="false" customHeight="false" outlineLevel="0" collapsed="false">
      <c r="A105" s="2" t="s">
        <v>75</v>
      </c>
      <c r="B105" s="2" t="s">
        <v>77</v>
      </c>
      <c r="C105" s="2" t="s">
        <v>26</v>
      </c>
      <c r="D105" s="2" t="s">
        <v>27</v>
      </c>
      <c r="E105" s="3" t="n">
        <v>11</v>
      </c>
    </row>
    <row r="106" customFormat="false" ht="15" hidden="false" customHeight="false" outlineLevel="0" collapsed="false">
      <c r="A106" s="2" t="s">
        <v>75</v>
      </c>
      <c r="B106" s="2" t="s">
        <v>77</v>
      </c>
      <c r="C106" s="2" t="s">
        <v>15</v>
      </c>
      <c r="D106" s="2" t="s">
        <v>16</v>
      </c>
      <c r="E106" s="3" t="n">
        <v>7</v>
      </c>
    </row>
    <row r="107" customFormat="false" ht="15" hidden="false" customHeight="false" outlineLevel="0" collapsed="false">
      <c r="A107" s="2" t="s">
        <v>75</v>
      </c>
      <c r="B107" s="2" t="s">
        <v>77</v>
      </c>
      <c r="C107" s="2" t="s">
        <v>31</v>
      </c>
      <c r="D107" s="2" t="s">
        <v>32</v>
      </c>
      <c r="E107" s="3" t="n">
        <v>16</v>
      </c>
    </row>
    <row r="108" customFormat="false" ht="15" hidden="false" customHeight="false" outlineLevel="0" collapsed="false">
      <c r="A108" s="2" t="s">
        <v>75</v>
      </c>
      <c r="B108" s="2" t="s">
        <v>78</v>
      </c>
      <c r="C108" s="2" t="s">
        <v>47</v>
      </c>
      <c r="D108" s="2" t="s">
        <v>48</v>
      </c>
      <c r="E108" s="3" t="n">
        <v>4</v>
      </c>
    </row>
    <row r="109" customFormat="false" ht="15" hidden="false" customHeight="false" outlineLevel="0" collapsed="false">
      <c r="A109" s="2" t="s">
        <v>75</v>
      </c>
      <c r="B109" s="2" t="s">
        <v>78</v>
      </c>
      <c r="C109" s="2" t="s">
        <v>40</v>
      </c>
      <c r="D109" s="2" t="s">
        <v>41</v>
      </c>
      <c r="E109" s="3" t="n">
        <v>13</v>
      </c>
    </row>
    <row r="110" customFormat="false" ht="15" hidden="false" customHeight="false" outlineLevel="0" collapsed="false">
      <c r="A110" s="2" t="s">
        <v>75</v>
      </c>
      <c r="B110" s="2" t="s">
        <v>78</v>
      </c>
      <c r="C110" s="2" t="s">
        <v>13</v>
      </c>
      <c r="D110" s="2" t="s">
        <v>14</v>
      </c>
      <c r="E110" s="3" t="n">
        <v>7</v>
      </c>
    </row>
    <row r="111" customFormat="false" ht="15" hidden="false" customHeight="false" outlineLevel="0" collapsed="false">
      <c r="A111" s="2" t="s">
        <v>79</v>
      </c>
      <c r="B111" s="2" t="s">
        <v>80</v>
      </c>
      <c r="C111" s="2" t="s">
        <v>53</v>
      </c>
      <c r="D111" s="2" t="s">
        <v>54</v>
      </c>
      <c r="E111" s="3" t="n">
        <v>13</v>
      </c>
    </row>
    <row r="112" customFormat="false" ht="15" hidden="false" customHeight="false" outlineLevel="0" collapsed="false">
      <c r="A112" s="2" t="s">
        <v>79</v>
      </c>
      <c r="B112" s="2" t="s">
        <v>80</v>
      </c>
      <c r="C112" s="2" t="s">
        <v>18</v>
      </c>
      <c r="D112" s="2" t="s">
        <v>19</v>
      </c>
      <c r="E112" s="3" t="n">
        <v>3</v>
      </c>
    </row>
    <row r="113" customFormat="false" ht="15" hidden="false" customHeight="false" outlineLevel="0" collapsed="false">
      <c r="A113" s="2" t="s">
        <v>79</v>
      </c>
      <c r="B113" s="2" t="s">
        <v>80</v>
      </c>
      <c r="C113" s="2" t="s">
        <v>36</v>
      </c>
      <c r="D113" s="2" t="s">
        <v>37</v>
      </c>
      <c r="E113" s="3" t="n">
        <v>6</v>
      </c>
    </row>
    <row r="114" customFormat="false" ht="15" hidden="false" customHeight="false" outlineLevel="0" collapsed="false">
      <c r="A114" s="2" t="s">
        <v>79</v>
      </c>
      <c r="B114" s="2" t="s">
        <v>80</v>
      </c>
      <c r="C114" s="2" t="s">
        <v>13</v>
      </c>
      <c r="D114" s="2" t="s">
        <v>14</v>
      </c>
      <c r="E114" s="3" t="n">
        <v>6</v>
      </c>
    </row>
    <row r="115" customFormat="false" ht="15" hidden="false" customHeight="false" outlineLevel="0" collapsed="false">
      <c r="A115" s="2" t="s">
        <v>79</v>
      </c>
      <c r="B115" s="2" t="s">
        <v>80</v>
      </c>
      <c r="C115" s="2" t="s">
        <v>9</v>
      </c>
      <c r="D115" s="2" t="s">
        <v>10</v>
      </c>
      <c r="E115" s="3" t="n">
        <v>5</v>
      </c>
    </row>
    <row r="116" customFormat="false" ht="15" hidden="false" customHeight="false" outlineLevel="0" collapsed="false">
      <c r="A116" s="2" t="s">
        <v>79</v>
      </c>
      <c r="B116" s="2" t="s">
        <v>80</v>
      </c>
      <c r="C116" s="2" t="s">
        <v>26</v>
      </c>
      <c r="D116" s="2" t="s">
        <v>27</v>
      </c>
      <c r="E116" s="3" t="n">
        <v>1</v>
      </c>
    </row>
    <row r="117" customFormat="false" ht="15" hidden="false" customHeight="false" outlineLevel="0" collapsed="false">
      <c r="A117" s="2" t="s">
        <v>79</v>
      </c>
      <c r="B117" s="2" t="s">
        <v>81</v>
      </c>
      <c r="C117" s="2" t="s">
        <v>24</v>
      </c>
      <c r="D117" s="2" t="s">
        <v>25</v>
      </c>
      <c r="E117" s="3" t="n">
        <v>12</v>
      </c>
    </row>
    <row r="118" customFormat="false" ht="15" hidden="false" customHeight="false" outlineLevel="0" collapsed="false">
      <c r="A118" s="2" t="s">
        <v>79</v>
      </c>
      <c r="B118" s="2" t="s">
        <v>81</v>
      </c>
      <c r="C118" s="2" t="s">
        <v>38</v>
      </c>
      <c r="D118" s="2" t="s">
        <v>39</v>
      </c>
      <c r="E118" s="3" t="n">
        <v>5</v>
      </c>
    </row>
    <row r="119" customFormat="false" ht="15" hidden="false" customHeight="false" outlineLevel="0" collapsed="false">
      <c r="A119" s="2" t="s">
        <v>79</v>
      </c>
      <c r="B119" s="2" t="s">
        <v>81</v>
      </c>
      <c r="C119" s="2" t="s">
        <v>7</v>
      </c>
      <c r="D119" s="2" t="s">
        <v>8</v>
      </c>
      <c r="E119" s="3" t="n">
        <v>18</v>
      </c>
    </row>
    <row r="120" customFormat="false" ht="15" hidden="false" customHeight="false" outlineLevel="0" collapsed="false">
      <c r="A120" s="2" t="s">
        <v>79</v>
      </c>
      <c r="B120" s="2" t="s">
        <v>81</v>
      </c>
      <c r="C120" s="2" t="s">
        <v>47</v>
      </c>
      <c r="D120" s="2" t="s">
        <v>48</v>
      </c>
      <c r="E120" s="3" t="n">
        <v>18</v>
      </c>
    </row>
    <row r="121" customFormat="false" ht="15" hidden="false" customHeight="false" outlineLevel="0" collapsed="false">
      <c r="A121" s="2" t="s">
        <v>82</v>
      </c>
      <c r="B121" s="2" t="s">
        <v>83</v>
      </c>
      <c r="C121" s="2" t="s">
        <v>49</v>
      </c>
      <c r="D121" s="2" t="s">
        <v>50</v>
      </c>
      <c r="E121" s="3" t="n">
        <v>5</v>
      </c>
    </row>
    <row r="122" customFormat="false" ht="15" hidden="false" customHeight="false" outlineLevel="0" collapsed="false">
      <c r="A122" s="2" t="s">
        <v>82</v>
      </c>
      <c r="B122" s="2" t="s">
        <v>83</v>
      </c>
      <c r="C122" s="2" t="s">
        <v>20</v>
      </c>
      <c r="D122" s="2" t="s">
        <v>21</v>
      </c>
      <c r="E122" s="3" t="n">
        <v>14</v>
      </c>
    </row>
    <row r="123" customFormat="false" ht="15" hidden="false" customHeight="false" outlineLevel="0" collapsed="false">
      <c r="A123" s="2" t="s">
        <v>82</v>
      </c>
      <c r="B123" s="2" t="s">
        <v>83</v>
      </c>
      <c r="C123" s="2" t="s">
        <v>15</v>
      </c>
      <c r="D123" s="2" t="s">
        <v>16</v>
      </c>
      <c r="E123" s="3" t="n">
        <v>7</v>
      </c>
    </row>
    <row r="124" customFormat="false" ht="15" hidden="false" customHeight="false" outlineLevel="0" collapsed="false">
      <c r="A124" s="2" t="s">
        <v>82</v>
      </c>
      <c r="B124" s="2" t="s">
        <v>83</v>
      </c>
      <c r="C124" s="2" t="s">
        <v>71</v>
      </c>
      <c r="D124" s="2" t="s">
        <v>72</v>
      </c>
      <c r="E124" s="3" t="n">
        <v>7</v>
      </c>
    </row>
    <row r="125" customFormat="false" ht="15" hidden="false" customHeight="false" outlineLevel="0" collapsed="false">
      <c r="A125" s="2" t="s">
        <v>82</v>
      </c>
      <c r="B125" s="2" t="s">
        <v>84</v>
      </c>
      <c r="C125" s="2" t="s">
        <v>45</v>
      </c>
      <c r="D125" s="2" t="s">
        <v>46</v>
      </c>
      <c r="E125" s="3" t="n">
        <v>17</v>
      </c>
    </row>
    <row r="126" customFormat="false" ht="15" hidden="false" customHeight="false" outlineLevel="0" collapsed="false">
      <c r="A126" s="2" t="s">
        <v>82</v>
      </c>
      <c r="B126" s="2" t="s">
        <v>84</v>
      </c>
      <c r="C126" s="2" t="s">
        <v>65</v>
      </c>
      <c r="D126" s="2" t="s">
        <v>66</v>
      </c>
      <c r="E126" s="3" t="n">
        <v>8</v>
      </c>
    </row>
    <row r="127" customFormat="false" ht="15" hidden="false" customHeight="false" outlineLevel="0" collapsed="false">
      <c r="A127" s="2" t="s">
        <v>82</v>
      </c>
      <c r="B127" s="2" t="s">
        <v>84</v>
      </c>
      <c r="C127" s="2" t="s">
        <v>28</v>
      </c>
      <c r="D127" s="2" t="s">
        <v>29</v>
      </c>
      <c r="E127" s="3" t="n">
        <v>11</v>
      </c>
    </row>
    <row r="128" customFormat="false" ht="15" hidden="false" customHeight="false" outlineLevel="0" collapsed="false">
      <c r="A128" s="2" t="s">
        <v>82</v>
      </c>
      <c r="B128" s="2" t="s">
        <v>85</v>
      </c>
      <c r="C128" s="2" t="s">
        <v>31</v>
      </c>
      <c r="D128" s="2" t="s">
        <v>32</v>
      </c>
      <c r="E128" s="3" t="n">
        <v>15</v>
      </c>
    </row>
    <row r="129" customFormat="false" ht="15" hidden="false" customHeight="false" outlineLevel="0" collapsed="false">
      <c r="A129" s="2" t="s">
        <v>82</v>
      </c>
      <c r="B129" s="2" t="s">
        <v>85</v>
      </c>
      <c r="C129" s="2" t="s">
        <v>18</v>
      </c>
      <c r="D129" s="2" t="s">
        <v>19</v>
      </c>
      <c r="E129" s="3" t="n">
        <v>17</v>
      </c>
    </row>
    <row r="130" customFormat="false" ht="15" hidden="false" customHeight="false" outlineLevel="0" collapsed="false">
      <c r="A130" s="2" t="s">
        <v>82</v>
      </c>
      <c r="B130" s="2" t="s">
        <v>85</v>
      </c>
      <c r="C130" s="2" t="s">
        <v>7</v>
      </c>
      <c r="D130" s="2" t="s">
        <v>8</v>
      </c>
      <c r="E130" s="3" t="n">
        <v>14</v>
      </c>
    </row>
    <row r="131" customFormat="false" ht="15" hidden="false" customHeight="false" outlineLevel="0" collapsed="false">
      <c r="A131" s="2" t="s">
        <v>82</v>
      </c>
      <c r="B131" s="2" t="s">
        <v>85</v>
      </c>
      <c r="C131" s="2" t="s">
        <v>11</v>
      </c>
      <c r="D131" s="2" t="s">
        <v>12</v>
      </c>
      <c r="E131" s="3" t="n">
        <v>17</v>
      </c>
    </row>
    <row r="132" customFormat="false" ht="15" hidden="false" customHeight="false" outlineLevel="0" collapsed="false">
      <c r="A132" s="2" t="s">
        <v>82</v>
      </c>
      <c r="B132" s="2" t="s">
        <v>85</v>
      </c>
      <c r="C132" s="2" t="s">
        <v>40</v>
      </c>
      <c r="D132" s="2" t="s">
        <v>41</v>
      </c>
      <c r="E132" s="3" t="n">
        <v>5</v>
      </c>
    </row>
    <row r="133" customFormat="false" ht="15" hidden="false" customHeight="false" outlineLevel="0" collapsed="false">
      <c r="A133" s="2" t="s">
        <v>86</v>
      </c>
      <c r="B133" s="2" t="s">
        <v>87</v>
      </c>
      <c r="C133" s="2" t="s">
        <v>71</v>
      </c>
      <c r="D133" s="2" t="s">
        <v>72</v>
      </c>
      <c r="E133" s="3" t="n">
        <v>6</v>
      </c>
    </row>
    <row r="134" customFormat="false" ht="15" hidden="false" customHeight="false" outlineLevel="0" collapsed="false">
      <c r="A134" s="2" t="s">
        <v>86</v>
      </c>
      <c r="B134" s="2" t="s">
        <v>87</v>
      </c>
      <c r="C134" s="2" t="s">
        <v>20</v>
      </c>
      <c r="D134" s="2" t="s">
        <v>21</v>
      </c>
      <c r="E134" s="3" t="n">
        <v>1</v>
      </c>
    </row>
    <row r="135" customFormat="false" ht="15" hidden="false" customHeight="false" outlineLevel="0" collapsed="false">
      <c r="A135" s="2" t="s">
        <v>86</v>
      </c>
      <c r="B135" s="2" t="s">
        <v>87</v>
      </c>
      <c r="C135" s="2" t="s">
        <v>49</v>
      </c>
      <c r="D135" s="2" t="s">
        <v>50</v>
      </c>
      <c r="E135" s="3" t="n">
        <v>5</v>
      </c>
    </row>
    <row r="136" customFormat="false" ht="15" hidden="false" customHeight="false" outlineLevel="0" collapsed="false">
      <c r="A136" s="2" t="s">
        <v>86</v>
      </c>
      <c r="B136" s="2" t="s">
        <v>87</v>
      </c>
      <c r="C136" s="2" t="s">
        <v>38</v>
      </c>
      <c r="D136" s="2" t="s">
        <v>39</v>
      </c>
      <c r="E136" s="3" t="n">
        <v>6</v>
      </c>
    </row>
    <row r="137" customFormat="false" ht="15" hidden="false" customHeight="false" outlineLevel="0" collapsed="false">
      <c r="A137" s="2" t="s">
        <v>86</v>
      </c>
      <c r="B137" s="2" t="s">
        <v>88</v>
      </c>
      <c r="C137" s="2" t="s">
        <v>47</v>
      </c>
      <c r="D137" s="2" t="s">
        <v>48</v>
      </c>
      <c r="E137" s="3" t="n">
        <v>11</v>
      </c>
    </row>
    <row r="138" customFormat="false" ht="15" hidden="false" customHeight="false" outlineLevel="0" collapsed="false">
      <c r="A138" s="2" t="s">
        <v>86</v>
      </c>
      <c r="B138" s="2" t="s">
        <v>88</v>
      </c>
      <c r="C138" s="2" t="s">
        <v>15</v>
      </c>
      <c r="D138" s="2" t="s">
        <v>16</v>
      </c>
      <c r="E138" s="3" t="n">
        <v>17</v>
      </c>
    </row>
    <row r="139" customFormat="false" ht="15" hidden="false" customHeight="false" outlineLevel="0" collapsed="false">
      <c r="A139" s="2" t="s">
        <v>86</v>
      </c>
      <c r="B139" s="2" t="s">
        <v>88</v>
      </c>
      <c r="C139" s="2" t="s">
        <v>31</v>
      </c>
      <c r="D139" s="2" t="s">
        <v>32</v>
      </c>
      <c r="E139" s="3" t="n">
        <v>17</v>
      </c>
    </row>
    <row r="140" customFormat="false" ht="15" hidden="false" customHeight="false" outlineLevel="0" collapsed="false">
      <c r="A140" s="2" t="s">
        <v>86</v>
      </c>
      <c r="B140" s="2" t="s">
        <v>88</v>
      </c>
      <c r="C140" s="2" t="s">
        <v>11</v>
      </c>
      <c r="D140" s="2" t="s">
        <v>12</v>
      </c>
      <c r="E140" s="3" t="n">
        <v>18</v>
      </c>
    </row>
    <row r="141" customFormat="false" ht="15" hidden="false" customHeight="false" outlineLevel="0" collapsed="false">
      <c r="A141" s="2" t="s">
        <v>86</v>
      </c>
      <c r="B141" s="2" t="s">
        <v>89</v>
      </c>
      <c r="C141" s="2" t="s">
        <v>15</v>
      </c>
      <c r="D141" s="2" t="s">
        <v>16</v>
      </c>
      <c r="E141" s="3" t="n">
        <v>2</v>
      </c>
    </row>
    <row r="142" customFormat="false" ht="15" hidden="false" customHeight="false" outlineLevel="0" collapsed="false">
      <c r="A142" s="2" t="s">
        <v>86</v>
      </c>
      <c r="B142" s="2" t="s">
        <v>89</v>
      </c>
      <c r="C142" s="2" t="s">
        <v>31</v>
      </c>
      <c r="D142" s="2" t="s">
        <v>32</v>
      </c>
      <c r="E142" s="3" t="n">
        <v>4</v>
      </c>
    </row>
    <row r="143" customFormat="false" ht="15" hidden="false" customHeight="false" outlineLevel="0" collapsed="false">
      <c r="A143" s="2" t="s">
        <v>86</v>
      </c>
      <c r="B143" s="2" t="s">
        <v>89</v>
      </c>
      <c r="C143" s="2" t="s">
        <v>11</v>
      </c>
      <c r="D143" s="2" t="s">
        <v>12</v>
      </c>
      <c r="E143" s="3" t="n">
        <v>17</v>
      </c>
    </row>
    <row r="144" customFormat="false" ht="15" hidden="false" customHeight="false" outlineLevel="0" collapsed="false">
      <c r="A144" s="2" t="s">
        <v>86</v>
      </c>
      <c r="B144" s="2" t="s">
        <v>89</v>
      </c>
      <c r="C144" s="2" t="s">
        <v>26</v>
      </c>
      <c r="D144" s="2" t="s">
        <v>27</v>
      </c>
      <c r="E144" s="3" t="n">
        <v>15</v>
      </c>
    </row>
    <row r="145" customFormat="false" ht="15" hidden="false" customHeight="false" outlineLevel="0" collapsed="false">
      <c r="A145" s="2" t="s">
        <v>86</v>
      </c>
      <c r="B145" s="2" t="s">
        <v>89</v>
      </c>
      <c r="C145" s="2" t="s">
        <v>65</v>
      </c>
      <c r="D145" s="2" t="s">
        <v>66</v>
      </c>
      <c r="E145" s="3" t="n">
        <v>18</v>
      </c>
    </row>
    <row r="146" customFormat="false" ht="15" hidden="false" customHeight="false" outlineLevel="0" collapsed="false">
      <c r="A146" s="2" t="s">
        <v>86</v>
      </c>
      <c r="B146" s="2" t="s">
        <v>89</v>
      </c>
      <c r="C146" s="2" t="s">
        <v>7</v>
      </c>
      <c r="D146" s="2" t="s">
        <v>8</v>
      </c>
      <c r="E146" s="3" t="n">
        <v>1</v>
      </c>
    </row>
  </sheetData>
  <autoFilter ref="A1:E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90</v>
      </c>
      <c r="D1" s="4" t="s">
        <v>91</v>
      </c>
    </row>
    <row r="2" customFormat="false" ht="15" hidden="false" customHeight="false" outlineLevel="0" collapsed="false">
      <c r="A2" s="2" t="s">
        <v>5</v>
      </c>
      <c r="B2" s="2" t="s">
        <v>17</v>
      </c>
      <c r="C2" s="3" t="n">
        <f aca="false">COUNTIFS('Full Report'!$B$2:$B$146,B2)</f>
        <v>3</v>
      </c>
      <c r="D2" s="3" t="n">
        <f aca="false">SUMIFS('Full Report'!$E$2:$E$146,'Full Report'!$B$2:$B$146,B2)</f>
        <v>29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f aca="false">COUNTIFS('Full Report'!$B$2:$B$146,B3)</f>
        <v>5</v>
      </c>
      <c r="D3" s="3" t="n">
        <f aca="false">SUMIFS('Full Report'!$E$2:$E$146,'Full Report'!$B$2:$B$146,B3)</f>
        <v>40</v>
      </c>
    </row>
    <row r="4" customFormat="false" ht="15" hidden="false" customHeight="false" outlineLevel="0" collapsed="false">
      <c r="A4" s="2" t="s">
        <v>22</v>
      </c>
      <c r="B4" s="2" t="s">
        <v>30</v>
      </c>
      <c r="C4" s="3" t="n">
        <f aca="false">COUNTIFS('Full Report'!$B$2:$B$146,B4)</f>
        <v>5</v>
      </c>
      <c r="D4" s="3" t="n">
        <f aca="false">SUMIFS('Full Report'!$E$2:$E$146,'Full Report'!$B$2:$B$146,B4)</f>
        <v>47</v>
      </c>
    </row>
    <row r="5" customFormat="false" ht="15" hidden="false" customHeight="false" outlineLevel="0" collapsed="false">
      <c r="A5" s="2" t="s">
        <v>22</v>
      </c>
      <c r="B5" s="2" t="s">
        <v>33</v>
      </c>
      <c r="C5" s="3" t="n">
        <f aca="false">COUNTIFS('Full Report'!$B$2:$B$146,B5)</f>
        <v>3</v>
      </c>
      <c r="D5" s="3" t="n">
        <f aca="false">SUMIFS('Full Report'!$E$2:$E$146,'Full Report'!$B$2:$B$146,B5)</f>
        <v>41</v>
      </c>
    </row>
    <row r="6" customFormat="false" ht="15" hidden="false" customHeight="false" outlineLevel="0" collapsed="false">
      <c r="A6" s="2" t="s">
        <v>22</v>
      </c>
      <c r="B6" s="2" t="s">
        <v>23</v>
      </c>
      <c r="C6" s="3" t="n">
        <f aca="false">COUNTIFS('Full Report'!$B$2:$B$146,B6)</f>
        <v>6</v>
      </c>
      <c r="D6" s="3" t="n">
        <f aca="false">SUMIFS('Full Report'!$E$2:$E$146,'Full Report'!$B$2:$B$146,B6)</f>
        <v>48</v>
      </c>
    </row>
    <row r="7" customFormat="false" ht="15" hidden="false" customHeight="false" outlineLevel="0" collapsed="false">
      <c r="A7" s="2" t="s">
        <v>34</v>
      </c>
      <c r="B7" s="2" t="s">
        <v>42</v>
      </c>
      <c r="C7" s="3" t="n">
        <f aca="false">COUNTIFS('Full Report'!$B$2:$B$146,B7)</f>
        <v>5</v>
      </c>
      <c r="D7" s="3" t="n">
        <f aca="false">SUMIFS('Full Report'!$E$2:$E$146,'Full Report'!$B$2:$B$146,B7)</f>
        <v>52</v>
      </c>
    </row>
    <row r="8" customFormat="false" ht="15" hidden="false" customHeight="false" outlineLevel="0" collapsed="false">
      <c r="A8" s="2" t="s">
        <v>34</v>
      </c>
      <c r="B8" s="2" t="s">
        <v>35</v>
      </c>
      <c r="C8" s="3" t="n">
        <f aca="false">COUNTIFS('Full Report'!$B$2:$B$146,B8)</f>
        <v>6</v>
      </c>
      <c r="D8" s="3" t="n">
        <f aca="false">SUMIFS('Full Report'!$E$2:$E$146,'Full Report'!$B$2:$B$146,B8)</f>
        <v>60</v>
      </c>
    </row>
    <row r="9" customFormat="false" ht="15" hidden="false" customHeight="false" outlineLevel="0" collapsed="false">
      <c r="A9" s="2" t="s">
        <v>34</v>
      </c>
      <c r="B9" s="2" t="s">
        <v>43</v>
      </c>
      <c r="C9" s="3" t="n">
        <f aca="false">COUNTIFS('Full Report'!$B$2:$B$146,B9)</f>
        <v>3</v>
      </c>
      <c r="D9" s="3" t="n">
        <f aca="false">SUMIFS('Full Report'!$E$2:$E$146,'Full Report'!$B$2:$B$146,B9)</f>
        <v>39</v>
      </c>
    </row>
    <row r="10" customFormat="false" ht="15" hidden="false" customHeight="false" outlineLevel="0" collapsed="false">
      <c r="A10" s="2" t="s">
        <v>34</v>
      </c>
      <c r="B10" s="2" t="s">
        <v>44</v>
      </c>
      <c r="C10" s="3" t="n">
        <f aca="false">COUNTIFS('Full Report'!$B$2:$B$146,B10)</f>
        <v>6</v>
      </c>
      <c r="D10" s="3" t="n">
        <f aca="false">SUMIFS('Full Report'!$E$2:$E$146,'Full Report'!$B$2:$B$146,B10)</f>
        <v>61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3" t="n">
        <f aca="false">COUNTIFS('Full Report'!$B$2:$B$146,B11)</f>
        <v>6</v>
      </c>
      <c r="D11" s="3" t="n">
        <f aca="false">SUMIFS('Full Report'!$E$2:$E$146,'Full Report'!$B$2:$B$146,B11)</f>
        <v>65</v>
      </c>
    </row>
    <row r="12" customFormat="false" ht="15" hidden="false" customHeight="false" outlineLevel="0" collapsed="false">
      <c r="A12" s="2" t="s">
        <v>51</v>
      </c>
      <c r="B12" s="2" t="s">
        <v>55</v>
      </c>
      <c r="C12" s="3" t="n">
        <f aca="false">COUNTIFS('Full Report'!$B$2:$B$146,B12)</f>
        <v>3</v>
      </c>
      <c r="D12" s="3" t="n">
        <f aca="false">SUMIFS('Full Report'!$E$2:$E$146,'Full Report'!$B$2:$B$146,B12)</f>
        <v>32</v>
      </c>
    </row>
    <row r="13" customFormat="false" ht="15" hidden="false" customHeight="false" outlineLevel="0" collapsed="false">
      <c r="A13" s="2" t="s">
        <v>56</v>
      </c>
      <c r="B13" s="2" t="s">
        <v>59</v>
      </c>
      <c r="C13" s="3" t="n">
        <f aca="false">COUNTIFS('Full Report'!$B$2:$B$146,B13)</f>
        <v>4</v>
      </c>
      <c r="D13" s="3" t="n">
        <f aca="false">SUMIFS('Full Report'!$E$2:$E$146,'Full Report'!$B$2:$B$146,B13)</f>
        <v>39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3" t="n">
        <f aca="false">COUNTIFS('Full Report'!$B$2:$B$146,B14)</f>
        <v>6</v>
      </c>
      <c r="D14" s="3" t="n">
        <f aca="false">SUMIFS('Full Report'!$E$2:$E$146,'Full Report'!$B$2:$B$146,B14)</f>
        <v>35</v>
      </c>
    </row>
    <row r="15" customFormat="false" ht="15" hidden="false" customHeight="false" outlineLevel="0" collapsed="false">
      <c r="A15" s="2" t="s">
        <v>56</v>
      </c>
      <c r="B15" s="2" t="s">
        <v>58</v>
      </c>
      <c r="C15" s="3" t="n">
        <f aca="false">COUNTIFS('Full Report'!$B$2:$B$146,B15)</f>
        <v>3</v>
      </c>
      <c r="D15" s="3" t="n">
        <f aca="false">SUMIFS('Full Report'!$E$2:$E$146,'Full Report'!$B$2:$B$146,B15)</f>
        <v>20</v>
      </c>
    </row>
    <row r="16" customFormat="false" ht="15" hidden="false" customHeight="false" outlineLevel="0" collapsed="false">
      <c r="A16" s="2" t="s">
        <v>60</v>
      </c>
      <c r="B16" s="2" t="s">
        <v>62</v>
      </c>
      <c r="C16" s="3" t="n">
        <f aca="false">COUNTIFS('Full Report'!$B$2:$B$146,B16)</f>
        <v>4</v>
      </c>
      <c r="D16" s="3" t="n">
        <f aca="false">SUMIFS('Full Report'!$E$2:$E$146,'Full Report'!$B$2:$B$146,B16)</f>
        <v>28</v>
      </c>
    </row>
    <row r="17" customFormat="false" ht="15" hidden="false" customHeight="false" outlineLevel="0" collapsed="false">
      <c r="A17" s="2" t="s">
        <v>60</v>
      </c>
      <c r="B17" s="2" t="s">
        <v>61</v>
      </c>
      <c r="C17" s="3" t="n">
        <f aca="false">COUNTIFS('Full Report'!$B$2:$B$146,B17)</f>
        <v>6</v>
      </c>
      <c r="D17" s="3" t="n">
        <f aca="false">SUMIFS('Full Report'!$E$2:$E$146,'Full Report'!$B$2:$B$146,B17)</f>
        <v>47</v>
      </c>
    </row>
    <row r="18" customFormat="false" ht="15" hidden="false" customHeight="false" outlineLevel="0" collapsed="false">
      <c r="A18" s="2" t="s">
        <v>63</v>
      </c>
      <c r="B18" s="2" t="s">
        <v>67</v>
      </c>
      <c r="C18" s="3" t="n">
        <f aca="false">COUNTIFS('Full Report'!$B$2:$B$146,B18)</f>
        <v>3</v>
      </c>
      <c r="D18" s="3" t="n">
        <f aca="false">SUMIFS('Full Report'!$E$2:$E$146,'Full Report'!$B$2:$B$146,B18)</f>
        <v>42</v>
      </c>
    </row>
    <row r="19" customFormat="false" ht="15" hidden="false" customHeight="false" outlineLevel="0" collapsed="false">
      <c r="A19" s="2" t="s">
        <v>63</v>
      </c>
      <c r="B19" s="2" t="s">
        <v>64</v>
      </c>
      <c r="C19" s="3" t="n">
        <f aca="false">COUNTIFS('Full Report'!$B$2:$B$146,B19)</f>
        <v>5</v>
      </c>
      <c r="D19" s="3" t="n">
        <f aca="false">SUMIFS('Full Report'!$E$2:$E$146,'Full Report'!$B$2:$B$146,B19)</f>
        <v>54</v>
      </c>
    </row>
    <row r="20" customFormat="false" ht="15" hidden="false" customHeight="false" outlineLevel="0" collapsed="false">
      <c r="A20" s="2" t="s">
        <v>63</v>
      </c>
      <c r="B20" s="2" t="s">
        <v>68</v>
      </c>
      <c r="C20" s="3" t="n">
        <f aca="false">COUNTIFS('Full Report'!$B$2:$B$146,B20)</f>
        <v>3</v>
      </c>
      <c r="D20" s="3" t="n">
        <f aca="false">SUMIFS('Full Report'!$E$2:$E$146,'Full Report'!$B$2:$B$146,B20)</f>
        <v>31</v>
      </c>
    </row>
    <row r="21" customFormat="false" ht="15" hidden="false" customHeight="false" outlineLevel="0" collapsed="false">
      <c r="A21" s="2" t="s">
        <v>69</v>
      </c>
      <c r="B21" s="2" t="s">
        <v>73</v>
      </c>
      <c r="C21" s="3" t="n">
        <f aca="false">COUNTIFS('Full Report'!$B$2:$B$146,B21)</f>
        <v>5</v>
      </c>
      <c r="D21" s="3" t="n">
        <f aca="false">SUMIFS('Full Report'!$E$2:$E$146,'Full Report'!$B$2:$B$146,B21)</f>
        <v>73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3" t="n">
        <f aca="false">COUNTIFS('Full Report'!$B$2:$B$146,B22)</f>
        <v>3</v>
      </c>
      <c r="D22" s="3" t="n">
        <f aca="false">SUMIFS('Full Report'!$E$2:$E$146,'Full Report'!$B$2:$B$146,B22)</f>
        <v>24</v>
      </c>
    </row>
    <row r="23" customFormat="false" ht="15" hidden="false" customHeight="false" outlineLevel="0" collapsed="false">
      <c r="A23" s="2" t="s">
        <v>69</v>
      </c>
      <c r="B23" s="2" t="s">
        <v>74</v>
      </c>
      <c r="C23" s="3" t="n">
        <f aca="false">COUNTIFS('Full Report'!$B$2:$B$146,B23)</f>
        <v>5</v>
      </c>
      <c r="D23" s="3" t="n">
        <f aca="false">SUMIFS('Full Report'!$E$2:$E$146,'Full Report'!$B$2:$B$146,B23)</f>
        <v>53</v>
      </c>
    </row>
    <row r="24" customFormat="false" ht="15" hidden="false" customHeight="false" outlineLevel="0" collapsed="false">
      <c r="A24" s="2" t="s">
        <v>75</v>
      </c>
      <c r="B24" s="2" t="s">
        <v>78</v>
      </c>
      <c r="C24" s="3" t="n">
        <f aca="false">COUNTIFS('Full Report'!$B$2:$B$146,B24)</f>
        <v>3</v>
      </c>
      <c r="D24" s="3" t="n">
        <f aca="false">SUMIFS('Full Report'!$E$2:$E$146,'Full Report'!$B$2:$B$146,B24)</f>
        <v>24</v>
      </c>
    </row>
    <row r="25" customFormat="false" ht="15" hidden="false" customHeight="false" outlineLevel="0" collapsed="false">
      <c r="A25" s="2" t="s">
        <v>75</v>
      </c>
      <c r="B25" s="2" t="s">
        <v>76</v>
      </c>
      <c r="C25" s="3" t="n">
        <f aca="false">COUNTIFS('Full Report'!$B$2:$B$146,B25)</f>
        <v>3</v>
      </c>
      <c r="D25" s="3" t="n">
        <f aca="false">SUMIFS('Full Report'!$E$2:$E$146,'Full Report'!$B$2:$B$146,B25)</f>
        <v>34</v>
      </c>
    </row>
    <row r="26" customFormat="false" ht="15" hidden="false" customHeight="false" outlineLevel="0" collapsed="false">
      <c r="A26" s="2" t="s">
        <v>75</v>
      </c>
      <c r="B26" s="2" t="s">
        <v>77</v>
      </c>
      <c r="C26" s="3" t="n">
        <f aca="false">COUNTIFS('Full Report'!$B$2:$B$146,B26)</f>
        <v>5</v>
      </c>
      <c r="D26" s="3" t="n">
        <f aca="false">SUMIFS('Full Report'!$E$2:$E$146,'Full Report'!$B$2:$B$146,B26)</f>
        <v>57</v>
      </c>
    </row>
    <row r="27" customFormat="false" ht="15" hidden="false" customHeight="false" outlineLevel="0" collapsed="false">
      <c r="A27" s="2" t="s">
        <v>79</v>
      </c>
      <c r="B27" s="2" t="s">
        <v>81</v>
      </c>
      <c r="C27" s="3" t="n">
        <f aca="false">COUNTIFS('Full Report'!$B$2:$B$146,B27)</f>
        <v>4</v>
      </c>
      <c r="D27" s="3" t="n">
        <f aca="false">SUMIFS('Full Report'!$E$2:$E$146,'Full Report'!$B$2:$B$146,B27)</f>
        <v>53</v>
      </c>
    </row>
    <row r="28" customFormat="false" ht="15" hidden="false" customHeight="false" outlineLevel="0" collapsed="false">
      <c r="A28" s="2" t="s">
        <v>79</v>
      </c>
      <c r="B28" s="2" t="s">
        <v>80</v>
      </c>
      <c r="C28" s="3" t="n">
        <f aca="false">COUNTIFS('Full Report'!$B$2:$B$146,B28)</f>
        <v>6</v>
      </c>
      <c r="D28" s="3" t="n">
        <f aca="false">SUMIFS('Full Report'!$E$2:$E$146,'Full Report'!$B$2:$B$146,B28)</f>
        <v>34</v>
      </c>
    </row>
    <row r="29" customFormat="false" ht="15" hidden="false" customHeight="false" outlineLevel="0" collapsed="false">
      <c r="A29" s="2" t="s">
        <v>82</v>
      </c>
      <c r="B29" s="2" t="s">
        <v>85</v>
      </c>
      <c r="C29" s="3" t="n">
        <f aca="false">COUNTIFS('Full Report'!$B$2:$B$146,B29)</f>
        <v>5</v>
      </c>
      <c r="D29" s="3" t="n">
        <f aca="false">SUMIFS('Full Report'!$E$2:$E$146,'Full Report'!$B$2:$B$146,B29)</f>
        <v>68</v>
      </c>
    </row>
    <row r="30" customFormat="false" ht="15" hidden="false" customHeight="false" outlineLevel="0" collapsed="false">
      <c r="A30" s="2" t="s">
        <v>82</v>
      </c>
      <c r="B30" s="2" t="s">
        <v>84</v>
      </c>
      <c r="C30" s="3" t="n">
        <f aca="false">COUNTIFS('Full Report'!$B$2:$B$146,B30)</f>
        <v>3</v>
      </c>
      <c r="D30" s="3" t="n">
        <f aca="false">SUMIFS('Full Report'!$E$2:$E$146,'Full Report'!$B$2:$B$146,B30)</f>
        <v>36</v>
      </c>
    </row>
    <row r="31" customFormat="false" ht="15" hidden="false" customHeight="false" outlineLevel="0" collapsed="false">
      <c r="A31" s="2" t="s">
        <v>82</v>
      </c>
      <c r="B31" s="2" t="s">
        <v>83</v>
      </c>
      <c r="C31" s="3" t="n">
        <f aca="false">COUNTIFS('Full Report'!$B$2:$B$146,B31)</f>
        <v>4</v>
      </c>
      <c r="D31" s="3" t="n">
        <f aca="false">SUMIFS('Full Report'!$E$2:$E$146,'Full Report'!$B$2:$B$146,B31)</f>
        <v>33</v>
      </c>
    </row>
    <row r="32" customFormat="false" ht="15" hidden="false" customHeight="false" outlineLevel="0" collapsed="false">
      <c r="A32" s="2" t="s">
        <v>86</v>
      </c>
      <c r="B32" s="2" t="s">
        <v>89</v>
      </c>
      <c r="C32" s="3" t="n">
        <f aca="false">COUNTIFS('Full Report'!$B$2:$B$146,B32)</f>
        <v>6</v>
      </c>
      <c r="D32" s="3" t="n">
        <f aca="false">SUMIFS('Full Report'!$E$2:$E$146,'Full Report'!$B$2:$B$146,B32)</f>
        <v>57</v>
      </c>
    </row>
    <row r="33" customFormat="false" ht="15" hidden="false" customHeight="false" outlineLevel="0" collapsed="false">
      <c r="A33" s="2" t="s">
        <v>86</v>
      </c>
      <c r="B33" s="2" t="s">
        <v>88</v>
      </c>
      <c r="C33" s="3" t="n">
        <f aca="false">COUNTIFS('Full Report'!$B$2:$B$146,B33)</f>
        <v>4</v>
      </c>
      <c r="D33" s="3" t="n">
        <f aca="false">SUMIFS('Full Report'!$E$2:$E$146,'Full Report'!$B$2:$B$146,B33)</f>
        <v>63</v>
      </c>
    </row>
    <row r="34" customFormat="false" ht="15" hidden="false" customHeight="false" outlineLevel="0" collapsed="false">
      <c r="A34" s="2" t="s">
        <v>86</v>
      </c>
      <c r="B34" s="2" t="s">
        <v>87</v>
      </c>
      <c r="C34" s="3" t="n">
        <f aca="false">COUNTIFS('Full Report'!$B$2:$B$146,B34)</f>
        <v>4</v>
      </c>
      <c r="D34" s="3" t="n">
        <f aca="false">SUMIFS('Full Report'!$E$2:$E$146,'Full Report'!$B$2:$B$146,B34)</f>
        <v>18</v>
      </c>
    </row>
  </sheetData>
  <autoFilter ref="A1:D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4" t="s">
        <v>2</v>
      </c>
      <c r="B1" s="4" t="s">
        <v>3</v>
      </c>
      <c r="C1" s="4" t="s">
        <v>92</v>
      </c>
      <c r="D1" s="4" t="s">
        <v>91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n">
        <f aca="false">COUNTIFS('Full Report'!$C$2:$C$146,A2,'Full Report'!$D$2:$D$146,B2)</f>
        <v>11</v>
      </c>
      <c r="D2" s="3" t="n">
        <f aca="false">SUMIFS('Full Report'!$E$2:$E$146,'Full Report'!$C$2:$C$146,A2,'Full Report'!$D$2:$D$146,B2)</f>
        <v>111</v>
      </c>
    </row>
    <row r="3" customFormat="false" ht="15" hidden="false" customHeight="false" outlineLevel="0" collapsed="false">
      <c r="A3" s="2" t="s">
        <v>18</v>
      </c>
      <c r="B3" s="2" t="s">
        <v>19</v>
      </c>
      <c r="C3" s="3" t="n">
        <f aca="false">COUNTIFS('Full Report'!$C$2:$C$146,A3,'Full Report'!$D$2:$D$146,B3)</f>
        <v>7</v>
      </c>
      <c r="D3" s="3" t="n">
        <f aca="false">SUMIFS('Full Report'!$E$2:$E$146,'Full Report'!$C$2:$C$146,A3,'Full Report'!$D$2:$D$146,B3)</f>
        <v>71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f aca="false">COUNTIFS('Full Report'!$C$2:$C$146,A4,'Full Report'!$D$2:$D$146,B4)</f>
        <v>6</v>
      </c>
      <c r="D4" s="3" t="n">
        <f aca="false">SUMIFS('Full Report'!$E$2:$E$146,'Full Report'!$C$2:$C$146,A4,'Full Report'!$D$2:$D$146,B4)</f>
        <v>60</v>
      </c>
    </row>
    <row r="5" customFormat="false" ht="15" hidden="false" customHeight="false" outlineLevel="0" collapsed="false">
      <c r="A5" s="2" t="s">
        <v>9</v>
      </c>
      <c r="B5" s="2" t="s">
        <v>10</v>
      </c>
      <c r="C5" s="3" t="n">
        <f aca="false">COUNTIFS('Full Report'!$C$2:$C$146,A5,'Full Report'!$D$2:$D$146,B5)</f>
        <v>7</v>
      </c>
      <c r="D5" s="3" t="n">
        <f aca="false">SUMIFS('Full Report'!$E$2:$E$146,'Full Report'!$C$2:$C$146,A5,'Full Report'!$D$2:$D$146,B5)</f>
        <v>61</v>
      </c>
    </row>
    <row r="6" customFormat="false" ht="15" hidden="false" customHeight="false" outlineLevel="0" collapsed="false">
      <c r="A6" s="2" t="s">
        <v>28</v>
      </c>
      <c r="B6" s="2" t="s">
        <v>29</v>
      </c>
      <c r="C6" s="3" t="n">
        <f aca="false">COUNTIFS('Full Report'!$C$2:$C$146,A6,'Full Report'!$D$2:$D$146,B6)</f>
        <v>5</v>
      </c>
      <c r="D6" s="3" t="n">
        <f aca="false">SUMIFS('Full Report'!$E$2:$E$146,'Full Report'!$C$2:$C$146,A6,'Full Report'!$D$2:$D$146,B6)</f>
        <v>56</v>
      </c>
    </row>
    <row r="7" customFormat="false" ht="15" hidden="false" customHeight="false" outlineLevel="0" collapsed="false">
      <c r="A7" s="2" t="s">
        <v>15</v>
      </c>
      <c r="B7" s="2" t="s">
        <v>16</v>
      </c>
      <c r="C7" s="3" t="n">
        <f aca="false">COUNTIFS('Full Report'!$C$2:$C$146,A7,'Full Report'!$D$2:$D$146,B7)</f>
        <v>15</v>
      </c>
      <c r="D7" s="3" t="n">
        <f aca="false">SUMIFS('Full Report'!$E$2:$E$146,'Full Report'!$C$2:$C$146,A7,'Full Report'!$D$2:$D$146,B7)</f>
        <v>134</v>
      </c>
    </row>
    <row r="8" customFormat="false" ht="15" hidden="false" customHeight="false" outlineLevel="0" collapsed="false">
      <c r="A8" s="2" t="s">
        <v>47</v>
      </c>
      <c r="B8" s="2" t="s">
        <v>48</v>
      </c>
      <c r="C8" s="3" t="n">
        <f aca="false">COUNTIFS('Full Report'!$C$2:$C$146,A8,'Full Report'!$D$2:$D$146,B8)</f>
        <v>9</v>
      </c>
      <c r="D8" s="3" t="n">
        <f aca="false">SUMIFS('Full Report'!$E$2:$E$146,'Full Report'!$C$2:$C$146,A8,'Full Report'!$D$2:$D$146,B8)</f>
        <v>103</v>
      </c>
    </row>
    <row r="9" customFormat="false" ht="15" hidden="false" customHeight="false" outlineLevel="0" collapsed="false">
      <c r="A9" s="2" t="s">
        <v>49</v>
      </c>
      <c r="B9" s="2" t="s">
        <v>50</v>
      </c>
      <c r="C9" s="3" t="n">
        <f aca="false">COUNTIFS('Full Report'!$C$2:$C$146,A9,'Full Report'!$D$2:$D$146,B9)</f>
        <v>4</v>
      </c>
      <c r="D9" s="3" t="n">
        <f aca="false">SUMIFS('Full Report'!$E$2:$E$146,'Full Report'!$C$2:$C$146,A9,'Full Report'!$D$2:$D$146,B9)</f>
        <v>20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3" t="n">
        <f aca="false">COUNTIFS('Full Report'!$C$2:$C$146,A10,'Full Report'!$D$2:$D$146,B10)</f>
        <v>5</v>
      </c>
      <c r="D10" s="3" t="n">
        <f aca="false">SUMIFS('Full Report'!$E$2:$E$146,'Full Report'!$C$2:$C$146,A10,'Full Report'!$D$2:$D$146,B10)</f>
        <v>45</v>
      </c>
    </row>
    <row r="11" customFormat="false" ht="15" hidden="false" customHeight="false" outlineLevel="0" collapsed="false">
      <c r="A11" s="2" t="s">
        <v>26</v>
      </c>
      <c r="B11" s="2" t="s">
        <v>27</v>
      </c>
      <c r="C11" s="3" t="n">
        <f aca="false">COUNTIFS('Full Report'!$C$2:$C$146,A11,'Full Report'!$D$2:$D$146,B11)</f>
        <v>5</v>
      </c>
      <c r="D11" s="3" t="n">
        <f aca="false">SUMIFS('Full Report'!$E$2:$E$146,'Full Report'!$C$2:$C$146,A11,'Full Report'!$D$2:$D$146,B11)</f>
        <v>36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3" t="n">
        <f aca="false">COUNTIFS('Full Report'!$C$2:$C$146,A12,'Full Report'!$D$2:$D$146,B12)</f>
        <v>7</v>
      </c>
      <c r="D12" s="3" t="n">
        <f aca="false">SUMIFS('Full Report'!$E$2:$E$146,'Full Report'!$C$2:$C$146,A12,'Full Report'!$D$2:$D$146,B12)</f>
        <v>69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3" t="n">
        <f aca="false">COUNTIFS('Full Report'!$C$2:$C$146,A13,'Full Report'!$D$2:$D$146,B13)</f>
        <v>4</v>
      </c>
      <c r="D13" s="3" t="n">
        <f aca="false">SUMIFS('Full Report'!$E$2:$E$146,'Full Report'!$C$2:$C$146,A13,'Full Report'!$D$2:$D$146,B13)</f>
        <v>49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3" t="n">
        <f aca="false">COUNTIFS('Full Report'!$C$2:$C$146,A14,'Full Report'!$D$2:$D$146,B14)</f>
        <v>5</v>
      </c>
      <c r="D14" s="3" t="n">
        <f aca="false">SUMIFS('Full Report'!$E$2:$E$146,'Full Report'!$C$2:$C$146,A14,'Full Report'!$D$2:$D$146,B14)</f>
        <v>60</v>
      </c>
    </row>
    <row r="15" customFormat="false" ht="15" hidden="false" customHeight="false" outlineLevel="0" collapsed="false">
      <c r="A15" s="2" t="s">
        <v>40</v>
      </c>
      <c r="B15" s="2" t="s">
        <v>41</v>
      </c>
      <c r="C15" s="3" t="n">
        <f aca="false">COUNTIFS('Full Report'!$C$2:$C$146,A15,'Full Report'!$D$2:$D$146,B15)</f>
        <v>9</v>
      </c>
      <c r="D15" s="3" t="n">
        <f aca="false">SUMIFS('Full Report'!$E$2:$E$146,'Full Report'!$C$2:$C$146,A15,'Full Report'!$D$2:$D$146,B15)</f>
        <v>80</v>
      </c>
    </row>
    <row r="16" customFormat="false" ht="15" hidden="false" customHeight="false" outlineLevel="0" collapsed="false">
      <c r="A16" s="2" t="s">
        <v>24</v>
      </c>
      <c r="B16" s="2" t="s">
        <v>25</v>
      </c>
      <c r="C16" s="3" t="n">
        <f aca="false">COUNTIFS('Full Report'!$C$2:$C$146,A16,'Full Report'!$D$2:$D$146,B16)</f>
        <v>6</v>
      </c>
      <c r="D16" s="3" t="n">
        <f aca="false">SUMIFS('Full Report'!$E$2:$E$146,'Full Report'!$C$2:$C$146,A16,'Full Report'!$D$2:$D$146,B16)</f>
        <v>46</v>
      </c>
    </row>
    <row r="17" customFormat="false" ht="15" hidden="false" customHeight="false" outlineLevel="0" collapsed="false">
      <c r="A17" s="2" t="s">
        <v>53</v>
      </c>
      <c r="B17" s="2" t="s">
        <v>54</v>
      </c>
      <c r="C17" s="3" t="n">
        <f aca="false">COUNTIFS('Full Report'!$C$2:$C$146,A17,'Full Report'!$D$2:$D$146,B17)</f>
        <v>5</v>
      </c>
      <c r="D17" s="3" t="n">
        <f aca="false">SUMIFS('Full Report'!$E$2:$E$146,'Full Report'!$C$2:$C$146,A17,'Full Report'!$D$2:$D$146,B17)</f>
        <v>54</v>
      </c>
    </row>
    <row r="18" customFormat="false" ht="15" hidden="false" customHeight="false" outlineLevel="0" collapsed="false">
      <c r="A18" s="2" t="s">
        <v>31</v>
      </c>
      <c r="B18" s="2" t="s">
        <v>32</v>
      </c>
      <c r="C18" s="3" t="n">
        <f aca="false">COUNTIFS('Full Report'!$C$2:$C$146,A18,'Full Report'!$D$2:$D$146,B18)</f>
        <v>11</v>
      </c>
      <c r="D18" s="3" t="n">
        <f aca="false">SUMIFS('Full Report'!$E$2:$E$146,'Full Report'!$C$2:$C$146,A18,'Full Report'!$D$2:$D$146,B18)</f>
        <v>114</v>
      </c>
    </row>
    <row r="19" customFormat="false" ht="15" hidden="false" customHeight="false" outlineLevel="0" collapsed="false">
      <c r="A19" s="2" t="s">
        <v>11</v>
      </c>
      <c r="B19" s="2" t="s">
        <v>12</v>
      </c>
      <c r="C19" s="3" t="n">
        <f aca="false">COUNTIFS('Full Report'!$C$2:$C$146,A19,'Full Report'!$D$2:$D$146,B19)</f>
        <v>8</v>
      </c>
      <c r="D19" s="3" t="n">
        <f aca="false">SUMIFS('Full Report'!$E$2:$E$146,'Full Report'!$C$2:$C$146,A19,'Full Report'!$D$2:$D$146,B19)</f>
        <v>131</v>
      </c>
    </row>
    <row r="20" customFormat="false" ht="15" hidden="false" customHeight="false" outlineLevel="0" collapsed="false">
      <c r="A20" s="2" t="s">
        <v>38</v>
      </c>
      <c r="B20" s="2" t="s">
        <v>39</v>
      </c>
      <c r="C20" s="3" t="n">
        <f aca="false">COUNTIFS('Full Report'!$C$2:$C$146,A20,'Full Report'!$D$2:$D$146,B20)</f>
        <v>6</v>
      </c>
      <c r="D20" s="3" t="n">
        <f aca="false">SUMIFS('Full Report'!$E$2:$E$146,'Full Report'!$C$2:$C$146,A20,'Full Report'!$D$2:$D$146,B20)</f>
        <v>44</v>
      </c>
    </row>
    <row r="21" customFormat="false" ht="15" hidden="false" customHeight="false" outlineLevel="0" collapsed="false">
      <c r="A21" s="2" t="s">
        <v>20</v>
      </c>
      <c r="B21" s="2" t="s">
        <v>21</v>
      </c>
      <c r="C21" s="3" t="n">
        <f aca="false">COUNTIFS('Full Report'!$C$2:$C$146,A21,'Full Report'!$D$2:$D$146,B21)</f>
        <v>10</v>
      </c>
      <c r="D21" s="3" t="n">
        <f aca="false">SUMIFS('Full Report'!$E$2:$E$146,'Full Report'!$C$2:$C$146,A21,'Full Report'!$D$2:$D$146,B21)</f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5" t="s">
        <v>93</v>
      </c>
    </row>
    <row r="2" customFormat="false" ht="15" hidden="false" customHeight="false" outlineLevel="0" collapsed="false">
      <c r="A2" s="6" t="s">
        <v>94</v>
      </c>
    </row>
    <row r="3" customFormat="false" ht="15" hidden="false" customHeight="false" outlineLevel="0" collapsed="false">
      <c r="A3" s="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2026-10-27T11:37:06Z</dcterms:created>
  <dc:creator>openpyxl</dc:creator>
  <dc:description/>
  <dc:language>en-US</dc:language>
  <cp:lastModifiedBy/>
  <dcterms:modified xsi:type="dcterms:W3CDTF">2026-10-27T11:37:06Z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